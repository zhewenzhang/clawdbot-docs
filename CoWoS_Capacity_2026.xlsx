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WoS产能分配" sheetId="1" state="visible" r:id="rId1"/>
    <sheet xmlns:r="http://schemas.openxmlformats.org/officeDocument/2006/relationships" name="TPU_Forecast" sheetId="2" state="visible" r:id="rId2"/>
    <sheet xmlns:r="http://schemas.openxmlformats.org/officeDocument/2006/relationships" name="HBM_2026" sheetId="3" state="visible" r:id="rId3"/>
    <sheet xmlns:r="http://schemas.openxmlformats.org/officeDocument/2006/relationships" name="Tglass_客户需求" sheetId="4" state="visible" r:id="rId4"/>
    <sheet xmlns:r="http://schemas.openxmlformats.org/officeDocument/2006/relationships" name="整合分析" sheetId="5" state="visible" r:id="rId5"/>
    <sheet xmlns:r="http://schemas.openxmlformats.org/officeDocument/2006/relationships" name="ABF市场分析" sheetId="6" state="visible" r:id="rId6"/>
    <sheet xmlns:r="http://schemas.openxmlformats.org/officeDocument/2006/relationships" name="中国AI加速器" sheetId="7" state="visible" r:id="rId7"/>
    <sheet xmlns:r="http://schemas.openxmlformats.org/officeDocument/2006/relationships" name="中国市场策略" sheetId="8" state="visible" r:id="rId8"/>
    <sheet xmlns:r="http://schemas.openxmlformats.org/officeDocument/2006/relationships" name="FCBGA_TAM报告" sheetId="9" state="visible" r:id="rId9"/>
    <sheet xmlns:r="http://schemas.openxmlformats.org/officeDocument/2006/relationships" name="战略重点" sheetId="10" state="visible" r:id="rId10"/>
    <sheet xmlns:r="http://schemas.openxmlformats.org/officeDocument/2006/relationships" name="Bernstein_TSMC" sheetId="11" state="visible" r:id="rId11"/>
    <sheet xmlns:r="http://schemas.openxmlformats.org/officeDocument/2006/relationships" name="Bernstein_Detai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Region</t>
        </is>
      </c>
      <c r="C1" s="1" t="inlineStr">
        <is>
          <t>Company</t>
        </is>
      </c>
      <c r="D1" s="1" t="inlineStr">
        <is>
          <t>CoWoS_Wafers_2026</t>
        </is>
      </c>
      <c r="E1" s="1" t="inlineStr">
        <is>
          <t>Market_Share</t>
        </is>
      </c>
      <c r="F1" s="1" t="inlineStr">
        <is>
          <t>TSMC_Wafers</t>
        </is>
      </c>
      <c r="G1" s="1" t="inlineStr">
        <is>
          <t>OSAT_Wafers</t>
        </is>
      </c>
      <c r="H1" s="1" t="inlineStr">
        <is>
          <t>Notes</t>
        </is>
      </c>
    </row>
    <row r="2">
      <c r="A2" t="inlineStr">
        <is>
          <t>AI-GPU</t>
        </is>
      </c>
      <c r="B2" t="inlineStr">
        <is>
          <t>WW</t>
        </is>
      </c>
      <c r="C2" t="inlineStr">
        <is>
          <t>NVIDIA</t>
        </is>
      </c>
      <c r="D2" t="n">
        <v>595000</v>
      </c>
      <c r="E2" t="inlineStr">
        <is>
          <t>60%</t>
        </is>
      </c>
      <c r="F2" t="n">
        <v>510000</v>
      </c>
      <c r="G2" t="n">
        <v>85000</v>
      </c>
      <c r="H2" t="inlineStr">
        <is>
          <t>Rubin架构, 540万颗芯片</t>
        </is>
      </c>
    </row>
    <row r="3">
      <c r="A3" t="inlineStr">
        <is>
          <t>AI-ASIC</t>
        </is>
      </c>
      <c r="B3" t="inlineStr">
        <is>
          <t>WW</t>
        </is>
      </c>
      <c r="C3" t="inlineStr">
        <is>
          <t>Broadcom</t>
        </is>
      </c>
      <c r="D3" t="n">
        <v>150000</v>
      </c>
      <c r="E3" t="inlineStr">
        <is>
          <t>15%</t>
        </is>
      </c>
      <c r="F3" t="n">
        <v>145000</v>
      </c>
      <c r="G3" t="n">
        <v>5000</v>
      </c>
      <c r="H3" t="inlineStr">
        <is>
          <t>Google TPU 9万片, Meta 5万片, OpenAI 1万片</t>
        </is>
      </c>
    </row>
    <row r="4">
      <c r="A4" t="inlineStr">
        <is>
          <t>AI-GPU</t>
        </is>
      </c>
      <c r="B4" t="inlineStr">
        <is>
          <t>WW</t>
        </is>
      </c>
      <c r="C4" t="inlineStr">
        <is>
          <t>AMD</t>
        </is>
      </c>
      <c r="D4" t="n">
        <v>105000</v>
      </c>
      <c r="E4" t="inlineStr">
        <is>
          <t>11%</t>
        </is>
      </c>
      <c r="F4" t="n">
        <v>80000</v>
      </c>
      <c r="G4" t="n">
        <v>25000</v>
      </c>
      <c r="H4" t="inlineStr">
        <is>
          <t>MI355/MI400系列</t>
        </is>
      </c>
    </row>
    <row r="5">
      <c r="A5" t="inlineStr">
        <is>
          <t>Cloud-AI</t>
        </is>
      </c>
      <c r="B5" t="inlineStr">
        <is>
          <t>WW</t>
        </is>
      </c>
      <c r="C5" t="inlineStr">
        <is>
          <t>Amazon</t>
        </is>
      </c>
      <c r="D5" t="n">
        <v>50000</v>
      </c>
      <c r="E5" t="inlineStr">
        <is>
          <t>5%</t>
        </is>
      </c>
      <c r="F5" t="n">
        <v>50000</v>
      </c>
      <c r="G5" t="n">
        <v>0</v>
      </c>
      <c r="H5" t="inlineStr">
        <is>
          <t>通过Alchip预订</t>
        </is>
      </c>
    </row>
    <row r="6">
      <c r="A6" t="inlineStr">
        <is>
          <t>Chip-Design</t>
        </is>
      </c>
      <c r="B6" t="inlineStr">
        <is>
          <t>WW</t>
        </is>
      </c>
      <c r="C6" t="inlineStr">
        <is>
          <t>Marvell</t>
        </is>
      </c>
      <c r="D6" t="n">
        <v>55000</v>
      </c>
      <c r="E6" t="inlineStr">
        <is>
          <t>5.5%</t>
        </is>
      </c>
      <c r="F6" t="n">
        <v>55000</v>
      </c>
      <c r="G6" t="n">
        <v>0</v>
      </c>
      <c r="H6" t="inlineStr">
        <is>
          <t>为AWS/微软定制芯片</t>
        </is>
      </c>
    </row>
    <row r="7">
      <c r="A7" t="inlineStr">
        <is>
          <t>Chip-Design</t>
        </is>
      </c>
      <c r="B7" t="inlineStr">
        <is>
          <t>TW</t>
        </is>
      </c>
      <c r="C7" t="inlineStr">
        <is>
          <t>MediaTek</t>
        </is>
      </c>
      <c r="D7" t="n">
        <v>20000</v>
      </c>
      <c r="E7" t="inlineStr">
        <is>
          <t>2%</t>
        </is>
      </c>
      <c r="F7" t="n">
        <v>20000</v>
      </c>
      <c r="G7" t="n">
        <v>0</v>
      </c>
      <c r="H7" t="inlineStr">
        <is>
          <t>Google TPU项目</t>
        </is>
      </c>
    </row>
    <row r="8">
      <c r="A8" t="inlineStr">
        <is>
          <t>CPU</t>
        </is>
      </c>
      <c r="B8" t="inlineStr">
        <is>
          <t>WW</t>
        </is>
      </c>
      <c r="C8" t="inlineStr">
        <is>
          <t>Intel/Amkor</t>
        </is>
      </c>
      <c r="D8" t="n">
        <v>80000</v>
      </c>
      <c r="E8" t="inlineStr">
        <is>
          <t>8%</t>
        </is>
      </c>
      <c r="F8" t="n">
        <v>0</v>
      </c>
      <c r="G8" t="n">
        <v>80000</v>
      </c>
      <c r="H8" t="inlineStr">
        <is>
          <t>Vera CPU及车用芯片</t>
        </is>
      </c>
    </row>
    <row r="9">
      <c r="A9" t="inlineStr">
        <is>
          <t>合计</t>
        </is>
      </c>
      <c r="B9" t="inlineStr">
        <is>
          <t>-</t>
        </is>
      </c>
      <c r="C9" t="inlineStr">
        <is>
          <t>-</t>
        </is>
      </c>
      <c r="D9" t="n">
        <v>1000000</v>
      </c>
      <c r="E9" t="inlineStr">
        <is>
          <t>100%</t>
        </is>
      </c>
      <c r="F9" t="n">
        <v>850000</v>
      </c>
      <c r="G9" t="n">
        <v>150000</v>
      </c>
      <c r="H9" t="inlineStr">
        <is>
          <t>台积电85%, OSAT 15%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I9"/>
  <sheetViews>
    <sheetView workbookViewId="0">
      <selection activeCell="A1" sqref="A1"/>
    </sheetView>
  </sheetViews>
  <sheetFormatPr baseColWidth="8" defaultRowHeight="15"/>
  <sheetData>
    <row r="2">
      <c r="A2">
        <f>== Morgan Stanley TPU 产量预测 (千单位) ===</f>
        <v/>
      </c>
    </row>
    <row r="3">
      <c r="A3" t="inlineStr">
        <is>
          <t>产品</t>
        </is>
      </c>
      <c r="B3" t="inlineStr">
        <is>
          <t>2023</t>
        </is>
      </c>
      <c r="C3" t="inlineStr">
        <is>
          <t>2024</t>
        </is>
      </c>
      <c r="D3" t="inlineStr">
        <is>
          <t>2025e</t>
        </is>
      </c>
      <c r="E3" t="inlineStr">
        <is>
          <t>2026e</t>
        </is>
      </c>
      <c r="F3" t="inlineStr">
        <is>
          <t>2027e</t>
        </is>
      </c>
      <c r="G3" t="inlineStr">
        <is>
          <t>2028e</t>
        </is>
      </c>
      <c r="H3" t="inlineStr">
        <is>
          <t>代工厂</t>
        </is>
      </c>
      <c r="I3" t="inlineStr">
        <is>
          <t>类型</t>
        </is>
      </c>
    </row>
    <row r="4">
      <c r="A4" t="inlineStr">
        <is>
          <t>TPU v5</t>
        </is>
      </c>
      <c r="B4" t="n">
        <v>500</v>
      </c>
      <c r="C4" t="n">
        <v>2400</v>
      </c>
      <c r="D4" t="n">
        <v>250</v>
      </c>
      <c r="E4" t="n">
        <v>0</v>
      </c>
      <c r="F4" t="n">
        <v>0</v>
      </c>
      <c r="G4" t="n">
        <v>0</v>
      </c>
      <c r="H4" t="inlineStr">
        <is>
          <t>TSMC</t>
        </is>
      </c>
      <c r="I4" t="inlineStr">
        <is>
          <t>Google</t>
        </is>
      </c>
    </row>
    <row r="5">
      <c r="A5" t="inlineStr">
        <is>
          <t>TPU v6 (Trillium)</t>
        </is>
      </c>
      <c r="B5" t="n">
        <v>1000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inlineStr">
        <is>
          <t>TSMC</t>
        </is>
      </c>
      <c r="I5" t="inlineStr">
        <is>
          <t>Google</t>
        </is>
      </c>
    </row>
    <row r="6">
      <c r="A6" t="inlineStr">
        <is>
          <t>TPU v7 (Ironwood)</t>
        </is>
      </c>
      <c r="B6" t="n">
        <v>500</v>
      </c>
      <c r="C6" t="n">
        <v>3200</v>
      </c>
      <c r="D6" t="n">
        <v>3500</v>
      </c>
      <c r="E6" t="n">
        <v>3500</v>
      </c>
      <c r="F6" t="n">
        <v>0</v>
      </c>
      <c r="G6" t="n">
        <v>0</v>
      </c>
      <c r="H6" t="inlineStr">
        <is>
          <t>Broadcom</t>
        </is>
      </c>
      <c r="I6" t="inlineStr">
        <is>
          <t>Google</t>
        </is>
      </c>
    </row>
    <row r="7">
      <c r="A7" t="inlineStr">
        <is>
          <t>TPU v8 (Zebrafish)</t>
        </is>
      </c>
      <c r="B7" t="n">
        <v>0</v>
      </c>
      <c r="C7" t="n">
        <v>400</v>
      </c>
      <c r="D7" t="n">
        <v>2500</v>
      </c>
      <c r="E7" t="n">
        <v>2500</v>
      </c>
      <c r="F7" t="n">
        <v>0</v>
      </c>
      <c r="G7" t="n">
        <v>0</v>
      </c>
      <c r="H7" t="inlineStr">
        <is>
          <t>MediaTek</t>
        </is>
      </c>
      <c r="I7" t="inlineStr">
        <is>
          <t>Google</t>
        </is>
      </c>
    </row>
    <row r="8">
      <c r="A8" t="inlineStr">
        <is>
          <t>TPU v9 (Pumafish)</t>
        </is>
      </c>
      <c r="B8" t="n">
        <v>0</v>
      </c>
      <c r="C8" t="n">
        <v>500</v>
      </c>
      <c r="D8" t="n">
        <v>0</v>
      </c>
      <c r="E8" t="n">
        <v>0</v>
      </c>
      <c r="F8" t="n">
        <v>0</v>
      </c>
      <c r="G8" t="n">
        <v>0</v>
      </c>
      <c r="H8" t="inlineStr">
        <is>
          <t>Broadcom</t>
        </is>
      </c>
      <c r="I8" t="inlineStr">
        <is>
          <t>Google</t>
        </is>
      </c>
    </row>
    <row r="9">
      <c r="A9" t="inlineStr">
        <is>
          <t>TPU v10 (Humufish)</t>
        </is>
      </c>
      <c r="B9" t="n">
        <v>0</v>
      </c>
      <c r="C9" t="n">
        <v>500</v>
      </c>
      <c r="D9" t="n">
        <v>0</v>
      </c>
      <c r="E9" t="n">
        <v>0</v>
      </c>
      <c r="F9" t="n">
        <v>0</v>
      </c>
      <c r="G9" t="n">
        <v>0</v>
      </c>
      <c r="H9" t="inlineStr">
        <is>
          <t>MediaTek</t>
        </is>
      </c>
      <c r="I9" t="inlineStr">
        <is>
          <t>Google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H12"/>
  <sheetViews>
    <sheetView workbookViewId="0">
      <selection activeCell="A1" sqref="A1"/>
    </sheetView>
  </sheetViews>
  <sheetFormatPr baseColWidth="8" defaultRowHeight="15"/>
  <sheetData>
    <row r="2">
      <c r="A2">
        <f>== 2026年 AI 芯片 HBM 消耗预测 ===</f>
        <v/>
      </c>
    </row>
    <row r="3">
      <c r="A3" t="inlineStr">
        <is>
          <t>产品</t>
        </is>
      </c>
      <c r="B3" t="inlineStr">
        <is>
          <t>厂商</t>
        </is>
      </c>
      <c r="C3" t="inlineStr">
        <is>
          <t>CoWoS(千片)</t>
        </is>
      </c>
      <c r="D3" t="inlineStr">
        <is>
          <t>芯片/片</t>
        </is>
      </c>
      <c r="E3" t="inlineStr">
        <is>
          <t>出货量(k)</t>
        </is>
      </c>
      <c r="F3" t="inlineStr">
        <is>
          <t>HBM代</t>
        </is>
      </c>
      <c r="G3" t="inlineStr">
        <is>
          <t>HBM容量(GB)</t>
        </is>
      </c>
      <c r="H3" t="inlineStr">
        <is>
          <t>HBM需求(k GB)</t>
        </is>
      </c>
    </row>
    <row r="4">
      <c r="A4" t="inlineStr">
        <is>
          <t>B300</t>
        </is>
      </c>
      <c r="B4" t="inlineStr">
        <is>
          <t>NVIDIA</t>
        </is>
      </c>
      <c r="C4" t="n">
        <v>390</v>
      </c>
      <c r="D4" t="n">
        <v>14</v>
      </c>
      <c r="E4" t="n">
        <v>5460</v>
      </c>
      <c r="F4" t="inlineStr">
        <is>
          <t>HBM3e</t>
        </is>
      </c>
      <c r="G4" t="n">
        <v>288</v>
      </c>
      <c r="H4" t="n">
        <v>1572480</v>
      </c>
    </row>
    <row r="5">
      <c r="A5" t="inlineStr">
        <is>
          <t>Rubin R200</t>
        </is>
      </c>
      <c r="B5" t="inlineStr">
        <is>
          <t>NVIDIA</t>
        </is>
      </c>
      <c r="C5" t="n">
        <v>260</v>
      </c>
      <c r="D5" t="n">
        <v>8</v>
      </c>
      <c r="E5" t="n">
        <v>2080</v>
      </c>
      <c r="F5" t="inlineStr">
        <is>
          <t>HBM4</t>
        </is>
      </c>
      <c r="G5" t="n">
        <v>288</v>
      </c>
      <c r="H5" t="n">
        <v>599040</v>
      </c>
    </row>
    <row r="6">
      <c r="A6" t="inlineStr">
        <is>
          <t>H200</t>
        </is>
      </c>
      <c r="B6" t="inlineStr">
        <is>
          <t>NVIDIA</t>
        </is>
      </c>
      <c r="C6" t="n">
        <v>75</v>
      </c>
      <c r="D6" t="n">
        <v>27</v>
      </c>
      <c r="E6" t="n">
        <v>2025</v>
      </c>
      <c r="F6" t="inlineStr">
        <is>
          <t>HBM3e</t>
        </is>
      </c>
      <c r="G6" t="n">
        <v>141</v>
      </c>
      <c r="H6" t="n">
        <v>285525</v>
      </c>
    </row>
    <row r="7">
      <c r="A7" t="inlineStr">
        <is>
          <t>MI300</t>
        </is>
      </c>
      <c r="B7" t="inlineStr">
        <is>
          <t>AMD</t>
        </is>
      </c>
      <c r="C7" t="n">
        <v>3</v>
      </c>
      <c r="D7" t="n">
        <v>12</v>
      </c>
      <c r="E7" t="n">
        <v>36</v>
      </c>
      <c r="F7" t="inlineStr">
        <is>
          <t>HBM3</t>
        </is>
      </c>
      <c r="G7" t="n">
        <v>192</v>
      </c>
      <c r="H7" t="n">
        <v>6912</v>
      </c>
    </row>
    <row r="8">
      <c r="A8" t="inlineStr">
        <is>
          <t>TPU v7p (Ironwood)</t>
        </is>
      </c>
      <c r="B8" t="inlineStr">
        <is>
          <t>Google/Broadcom</t>
        </is>
      </c>
      <c r="C8" t="n">
        <v>145</v>
      </c>
      <c r="D8" t="n">
        <v>16</v>
      </c>
      <c r="E8" t="n">
        <v>2320</v>
      </c>
      <c r="F8" t="inlineStr">
        <is>
          <t>HBM3e</t>
        </is>
      </c>
      <c r="G8" t="n">
        <v>192</v>
      </c>
      <c r="H8" t="n">
        <v>445440</v>
      </c>
    </row>
    <row r="9">
      <c r="A9" t="inlineStr">
        <is>
          <t>TPU v7e (Sunfish)</t>
        </is>
      </c>
      <c r="B9" t="inlineStr">
        <is>
          <t>Broadcom</t>
        </is>
      </c>
      <c r="C9" t="n">
        <v>80</v>
      </c>
      <c r="D9" t="n">
        <v>12</v>
      </c>
      <c r="E9" t="n">
        <v>960</v>
      </c>
      <c r="F9" t="inlineStr">
        <is>
          <t>HBM3e</t>
        </is>
      </c>
      <c r="G9" t="n">
        <v>288</v>
      </c>
      <c r="H9" t="n">
        <v>276480</v>
      </c>
    </row>
    <row r="10">
      <c r="A10" t="inlineStr">
        <is>
          <t>TPU v8 (Zebrafish)</t>
        </is>
      </c>
      <c r="B10" t="inlineStr">
        <is>
          <t>MediaTek</t>
        </is>
      </c>
      <c r="C10" t="n">
        <v>30</v>
      </c>
      <c r="D10" t="n">
        <v>20</v>
      </c>
      <c r="E10" t="n">
        <v>600</v>
      </c>
      <c r="F10" t="inlineStr">
        <is>
          <t>HBM3e</t>
        </is>
      </c>
      <c r="G10" t="n">
        <v>216</v>
      </c>
      <c r="H10" t="n">
        <v>129600</v>
      </c>
    </row>
    <row r="11">
      <c r="A11" t="inlineStr">
        <is>
          <t>Trainium 3</t>
        </is>
      </c>
      <c r="B11" t="inlineStr">
        <is>
          <t>AWS</t>
        </is>
      </c>
      <c r="C11" t="n">
        <v>80</v>
      </c>
      <c r="D11" t="n">
        <v>17</v>
      </c>
      <c r="E11" t="n">
        <v>1360</v>
      </c>
      <c r="F11" t="inlineStr">
        <is>
          <t>HBM3e</t>
        </is>
      </c>
      <c r="G11" t="n">
        <v>144</v>
      </c>
      <c r="H11" t="n">
        <v>195840</v>
      </c>
    </row>
    <row r="12">
      <c r="A12" t="inlineStr">
        <is>
          <t>MTIA v3 (Iris)</t>
        </is>
      </c>
      <c r="B12" t="inlineStr">
        <is>
          <t>Meta</t>
        </is>
      </c>
      <c r="C12" t="n">
        <v>15</v>
      </c>
      <c r="D12" t="n">
        <v>10</v>
      </c>
      <c r="E12" t="n">
        <v>150</v>
      </c>
      <c r="F12" t="inlineStr">
        <is>
          <t>HBM3e</t>
        </is>
      </c>
      <c r="G12" t="n">
        <v>288</v>
      </c>
      <c r="H12" t="n">
        <v>43200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>
        <f>== T-glass (ABF) 大客户需求预测 ===</f>
        <v/>
      </c>
    </row>
    <row r="2">
      <c r="A2" t="inlineStr">
        <is>
          <t>Company</t>
        </is>
      </c>
      <c r="B2" t="inlineStr">
        <is>
          <t>Core Type</t>
        </is>
      </c>
      <c r="C2" t="inlineStr">
        <is>
          <t>Chip Type</t>
        </is>
      </c>
      <c r="D2" t="inlineStr">
        <is>
          <t>2025需求</t>
        </is>
      </c>
      <c r="E2" t="inlineStr">
        <is>
          <t>2025出货</t>
        </is>
      </c>
      <c r="F2" t="inlineStr">
        <is>
          <t>2025 UPP</t>
        </is>
      </c>
      <c r="G2" t="inlineStr">
        <is>
          <t>2025良率</t>
        </is>
      </c>
      <c r="H2" t="inlineStr">
        <is>
          <t>2025 Core需求</t>
        </is>
      </c>
      <c r="I2" t="inlineStr">
        <is>
          <t>2026需求</t>
        </is>
      </c>
      <c r="J2" t="inlineStr">
        <is>
          <t>2026出货</t>
        </is>
      </c>
      <c r="K2" t="inlineStr">
        <is>
          <t>2026 UPP</t>
        </is>
      </c>
      <c r="L2" t="inlineStr">
        <is>
          <t>2026良率</t>
        </is>
      </c>
      <c r="M2" t="inlineStr">
        <is>
          <t>2026 Core需求</t>
        </is>
      </c>
    </row>
    <row r="3">
      <c r="A3" t="inlineStr">
        <is>
          <t>NVIDIA</t>
        </is>
      </c>
      <c r="B3" t="inlineStr">
        <is>
          <t>T-glass</t>
        </is>
      </c>
      <c r="C3" t="inlineStr">
        <is>
          <t>AI GPU</t>
        </is>
      </c>
      <c r="D3" t="inlineStr">
        <is>
          <t>5.2KK</t>
        </is>
      </c>
      <c r="E3" t="n">
        <v>5200000</v>
      </c>
      <c r="F3" t="n">
        <v>36</v>
      </c>
      <c r="G3" t="n">
        <v>0.68</v>
      </c>
      <c r="H3" t="n">
        <v>212418.3006535947</v>
      </c>
      <c r="I3" t="inlineStr">
        <is>
          <t>6.2KK</t>
        </is>
      </c>
      <c r="J3" t="n">
        <v>6130000</v>
      </c>
      <c r="K3" t="n">
        <v>36</v>
      </c>
      <c r="L3" t="n">
        <v>0.68</v>
      </c>
      <c r="M3" t="n">
        <v>250408.4967320261</v>
      </c>
    </row>
    <row r="4">
      <c r="A4" t="inlineStr">
        <is>
          <t>NVIDIA</t>
        </is>
      </c>
      <c r="B4" t="inlineStr">
        <is>
          <t>T-glass</t>
        </is>
      </c>
      <c r="C4" t="inlineStr">
        <is>
          <t>CPU</t>
        </is>
      </c>
      <c r="D4" t="inlineStr">
        <is>
          <t>1.6KK</t>
        </is>
      </c>
      <c r="E4" t="n">
        <v>1600000</v>
      </c>
      <c r="F4" t="n">
        <v>48</v>
      </c>
      <c r="G4" t="n">
        <v>0.8</v>
      </c>
      <c r="H4" t="n">
        <v>41666.66666666666</v>
      </c>
      <c r="I4" t="inlineStr">
        <is>
          <t>1.9KK</t>
        </is>
      </c>
      <c r="J4" t="n">
        <v>1886153.846153846</v>
      </c>
      <c r="K4" t="n">
        <v>48</v>
      </c>
      <c r="L4" t="n">
        <v>0.8</v>
      </c>
      <c r="M4" t="n">
        <v>49118.58974358974</v>
      </c>
    </row>
    <row r="5">
      <c r="A5" t="inlineStr">
        <is>
          <t>NVIDIA</t>
        </is>
      </c>
      <c r="B5" t="inlineStr">
        <is>
          <t>T-glass</t>
        </is>
      </c>
      <c r="C5" t="inlineStr">
        <is>
          <t>Switch</t>
        </is>
      </c>
      <c r="D5" t="inlineStr">
        <is>
          <t>1.7KK</t>
        </is>
      </c>
      <c r="E5" t="n">
        <v>1700000</v>
      </c>
      <c r="F5" t="n">
        <v>36</v>
      </c>
      <c r="G5" t="n">
        <v>0.75</v>
      </c>
      <c r="H5" t="n">
        <v>62962.96296296296</v>
      </c>
      <c r="I5" t="inlineStr">
        <is>
          <t>2KK</t>
        </is>
      </c>
      <c r="J5" t="n">
        <v>2004038.461538462</v>
      </c>
      <c r="K5" t="n">
        <v>36</v>
      </c>
      <c r="L5" t="n">
        <v>0.75</v>
      </c>
      <c r="M5" t="n">
        <v>74223.64672364673</v>
      </c>
    </row>
    <row r="6">
      <c r="A6" t="inlineStr">
        <is>
          <t>NVIDIA</t>
        </is>
      </c>
      <c r="B6" t="inlineStr">
        <is>
          <t>T-glass</t>
        </is>
      </c>
      <c r="C6" t="inlineStr">
        <is>
          <t>ADAS</t>
        </is>
      </c>
      <c r="D6" t="inlineStr">
        <is>
          <t>3KK</t>
        </is>
      </c>
      <c r="E6" t="n">
        <v>3000000</v>
      </c>
      <c r="F6" t="n">
        <v>100</v>
      </c>
      <c r="G6" t="n">
        <v>0.88</v>
      </c>
      <c r="H6" t="n">
        <v>34090.90909090909</v>
      </c>
      <c r="I6" t="inlineStr">
        <is>
          <t>5KK</t>
        </is>
      </c>
      <c r="J6" t="n">
        <v>5000000</v>
      </c>
      <c r="K6" t="n">
        <v>64</v>
      </c>
      <c r="L6" t="n">
        <v>0.8</v>
      </c>
      <c r="M6" t="n">
        <v>97656.25</v>
      </c>
    </row>
    <row r="7">
      <c r="A7" t="inlineStr">
        <is>
          <t>Google</t>
        </is>
      </c>
      <c r="B7" t="inlineStr">
        <is>
          <t>T-glass</t>
        </is>
      </c>
      <c r="C7" t="inlineStr">
        <is>
          <t>TPU</t>
        </is>
      </c>
      <c r="D7" t="inlineStr">
        <is>
          <t>2.8KK</t>
        </is>
      </c>
      <c r="E7" t="n">
        <v>2750000</v>
      </c>
      <c r="F7" t="n">
        <v>36</v>
      </c>
      <c r="G7" t="n">
        <v>0.75</v>
      </c>
      <c r="H7" t="n">
        <v>101851.8518518519</v>
      </c>
      <c r="I7" t="inlineStr">
        <is>
          <t>3KK</t>
        </is>
      </c>
      <c r="J7" t="n">
        <v>3000000</v>
      </c>
      <c r="K7" t="n">
        <v>36</v>
      </c>
      <c r="L7" t="n">
        <v>0.75</v>
      </c>
      <c r="M7" t="n">
        <v>111111.1111111111</v>
      </c>
    </row>
    <row r="8">
      <c r="A8" t="inlineStr">
        <is>
          <t>Meta</t>
        </is>
      </c>
      <c r="B8" t="inlineStr">
        <is>
          <t>T-glass</t>
        </is>
      </c>
      <c r="C8" t="inlineStr">
        <is>
          <t>AI ASIC</t>
        </is>
      </c>
      <c r="D8" t="inlineStr">
        <is>
          <t>0.3KK</t>
        </is>
      </c>
      <c r="E8" t="n">
        <v>300000</v>
      </c>
      <c r="F8" t="n">
        <v>64</v>
      </c>
      <c r="G8" t="n">
        <v>0.8</v>
      </c>
      <c r="H8" t="n">
        <v>5859.375</v>
      </c>
      <c r="I8" t="inlineStr">
        <is>
          <t>0.5KK</t>
        </is>
      </c>
      <c r="J8" t="n">
        <v>500000</v>
      </c>
      <c r="K8" t="n">
        <v>64</v>
      </c>
      <c r="L8" t="n">
        <v>0.8</v>
      </c>
      <c r="M8" t="n">
        <v>9765.625</v>
      </c>
    </row>
    <row r="9">
      <c r="A9" t="inlineStr">
        <is>
          <t>AWS</t>
        </is>
      </c>
      <c r="B9" t="inlineStr">
        <is>
          <t>T-glass</t>
        </is>
      </c>
      <c r="C9" t="inlineStr">
        <is>
          <t>AI ASIC</t>
        </is>
      </c>
      <c r="D9" t="inlineStr">
        <is>
          <t>1.3KK</t>
        </is>
      </c>
      <c r="E9" t="n">
        <v>1250000</v>
      </c>
      <c r="F9" t="n">
        <v>80</v>
      </c>
      <c r="G9" t="n">
        <v>0.85</v>
      </c>
      <c r="H9" t="n">
        <v>18382.35294117647</v>
      </c>
      <c r="I9" t="inlineStr">
        <is>
          <t xml:space="preserve">1.5KK </t>
        </is>
      </c>
      <c r="J9" t="n">
        <v>1500000</v>
      </c>
      <c r="K9" t="n">
        <v>80</v>
      </c>
      <c r="L9" t="n">
        <v>0.85</v>
      </c>
      <c r="M9" t="n">
        <v>22058.82352941177</v>
      </c>
    </row>
    <row r="10">
      <c r="A10" t="inlineStr">
        <is>
          <t>AMD</t>
        </is>
      </c>
      <c r="B10" t="inlineStr">
        <is>
          <t>T-glass</t>
        </is>
      </c>
      <c r="C10" t="inlineStr">
        <is>
          <t>AI GPU</t>
        </is>
      </c>
      <c r="D10" t="inlineStr">
        <is>
          <t>0.6KK</t>
        </is>
      </c>
      <c r="E10" t="n">
        <v>600000</v>
      </c>
      <c r="F10" t="n">
        <v>36</v>
      </c>
      <c r="G10" t="n">
        <v>0.68</v>
      </c>
      <c r="H10" t="n">
        <v>24509.80392156863</v>
      </c>
      <c r="I10" t="inlineStr">
        <is>
          <t>1KK</t>
        </is>
      </c>
      <c r="J10" t="n">
        <v>1002000</v>
      </c>
      <c r="K10" t="n">
        <v>36</v>
      </c>
      <c r="L10" t="n">
        <v>0.68</v>
      </c>
      <c r="M10" t="n">
        <v>40931.3725490196</v>
      </c>
    </row>
    <row r="11">
      <c r="A11" t="inlineStr">
        <is>
          <t>AMD</t>
        </is>
      </c>
      <c r="B11" t="inlineStr">
        <is>
          <t>T-glass</t>
        </is>
      </c>
      <c r="C11" t="inlineStr">
        <is>
          <t xml:space="preserve">Server CPU </t>
        </is>
      </c>
      <c r="D11" t="inlineStr">
        <is>
          <t>2.1KK</t>
        </is>
      </c>
      <c r="E11" t="n">
        <v>2100000</v>
      </c>
      <c r="F11" t="n">
        <v>64</v>
      </c>
      <c r="G11" t="n">
        <v>0.8</v>
      </c>
      <c r="H11" t="n">
        <v>41015.625</v>
      </c>
      <c r="I11" t="inlineStr">
        <is>
          <t>2.1KK</t>
        </is>
      </c>
      <c r="J11" t="n">
        <v>2163000</v>
      </c>
      <c r="K11" t="n">
        <v>64</v>
      </c>
      <c r="L11" t="n">
        <v>0.8</v>
      </c>
      <c r="M11" t="n">
        <v>42246.09375</v>
      </c>
    </row>
    <row r="12">
      <c r="A12" t="inlineStr">
        <is>
          <t>Intel</t>
        </is>
      </c>
      <c r="B12" t="inlineStr">
        <is>
          <t>T-glass</t>
        </is>
      </c>
      <c r="C12" t="inlineStr">
        <is>
          <t>AI GPU</t>
        </is>
      </c>
      <c r="D12" t="inlineStr">
        <is>
          <t>0.4KK</t>
        </is>
      </c>
      <c r="E12" t="n">
        <v>400000</v>
      </c>
      <c r="F12" t="n">
        <v>36</v>
      </c>
      <c r="G12" t="n">
        <v>0.7</v>
      </c>
      <c r="H12" t="n">
        <v>15873.01587301587</v>
      </c>
      <c r="I12" t="inlineStr">
        <is>
          <t>0.1KK</t>
        </is>
      </c>
      <c r="J12" t="n">
        <v>100000</v>
      </c>
      <c r="K12" t="n">
        <v>36</v>
      </c>
      <c r="L12" t="n">
        <v>0.7</v>
      </c>
      <c r="M12" t="n">
        <v>3968.253968253969</v>
      </c>
    </row>
    <row r="13">
      <c r="A13" t="inlineStr">
        <is>
          <t>Intel</t>
        </is>
      </c>
      <c r="B13" t="inlineStr">
        <is>
          <t>T-glass</t>
        </is>
      </c>
      <c r="C13" t="inlineStr">
        <is>
          <t xml:space="preserve">Server CPU </t>
        </is>
      </c>
      <c r="D13" t="inlineStr">
        <is>
          <t>5.5KK</t>
        </is>
      </c>
      <c r="E13" t="n">
        <v>5500000</v>
      </c>
      <c r="F13" t="n">
        <v>64</v>
      </c>
      <c r="G13" t="n">
        <v>0.8</v>
      </c>
      <c r="H13" t="n">
        <v>107421.875</v>
      </c>
      <c r="I13" t="inlineStr">
        <is>
          <t>5.5KK</t>
        </is>
      </c>
      <c r="J13" t="n">
        <v>5665000</v>
      </c>
      <c r="K13" t="n">
        <v>64</v>
      </c>
      <c r="L13" t="n">
        <v>0.8</v>
      </c>
      <c r="M13" t="n">
        <v>110644.53125</v>
      </c>
    </row>
    <row r="14">
      <c r="A14" t="inlineStr">
        <is>
          <t>Broadcom</t>
        </is>
      </c>
      <c r="B14" t="inlineStr">
        <is>
          <t>T-glass</t>
        </is>
      </c>
      <c r="C14" t="inlineStr">
        <is>
          <t>Switch</t>
        </is>
      </c>
      <c r="D14" t="inlineStr">
        <is>
          <t>103KK</t>
        </is>
      </c>
      <c r="E14" t="n">
        <v>10330230</v>
      </c>
      <c r="F14" t="n">
        <v>36</v>
      </c>
      <c r="G14" t="n">
        <v>0.6</v>
      </c>
      <c r="H14" t="n">
        <v>478251.3888888889</v>
      </c>
      <c r="I14" t="inlineStr">
        <is>
          <t>118KK</t>
        </is>
      </c>
      <c r="J14" t="n">
        <v>11893408.2</v>
      </c>
      <c r="K14" t="n">
        <v>36</v>
      </c>
      <c r="L14" t="n">
        <v>0.6</v>
      </c>
      <c r="M14" t="n">
        <v>550620.75</v>
      </c>
    </row>
    <row r="15">
      <c r="A15" t="inlineStr">
        <is>
          <t>Mavell</t>
        </is>
      </c>
      <c r="B15" t="inlineStr">
        <is>
          <t>T-glass</t>
        </is>
      </c>
      <c r="C15" t="inlineStr">
        <is>
          <t>Switch</t>
        </is>
      </c>
      <c r="D15" t="inlineStr">
        <is>
          <t>2.1KK</t>
        </is>
      </c>
      <c r="E15" t="n">
        <v>2122650</v>
      </c>
      <c r="F15" t="n">
        <v>48</v>
      </c>
      <c r="G15" t="n">
        <v>0.75</v>
      </c>
      <c r="H15" t="n">
        <v>58962.5</v>
      </c>
      <c r="I15" t="inlineStr">
        <is>
          <t>2.4KK</t>
        </is>
      </c>
      <c r="J15" t="n">
        <v>2443851</v>
      </c>
      <c r="K15" t="n">
        <v>48</v>
      </c>
      <c r="L15" t="n">
        <v>0.75</v>
      </c>
      <c r="M15" t="n">
        <v>67884.75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>
        <f>== AI 芯片与 T-glass 整合分析报告 ===</f>
        <v/>
      </c>
    </row>
    <row r="2">
      <c r="A2" t="inlineStr">
        <is>
          <t>生成时间: 2026-02-02</t>
        </is>
      </c>
    </row>
    <row r="4">
      <c r="A4" t="inlineStr">
        <is>
          <t>1️⃣ 各厂商出货量与 T-glass Core 需求</t>
        </is>
      </c>
    </row>
    <row r="5">
      <c r="A5" t="inlineStr">
        <is>
          <t>厂商</t>
        </is>
      </c>
      <c r="B5" t="inlineStr">
        <is>
          <t>2025出货量</t>
        </is>
      </c>
      <c r="C5" t="inlineStr">
        <is>
          <t>2026出货量</t>
        </is>
      </c>
      <c r="D5" t="inlineStr">
        <is>
          <t>Core需求2025</t>
        </is>
      </c>
      <c r="E5" t="inlineStr">
        <is>
          <t>Core需求2026</t>
        </is>
      </c>
      <c r="F5" t="inlineStr">
        <is>
          <t>Core/片</t>
        </is>
      </c>
    </row>
    <row r="6">
      <c r="A6" t="inlineStr">
        <is>
          <t>NVIDIA</t>
        </is>
      </c>
      <c r="B6" t="n">
        <v>11500000</v>
      </c>
      <c r="C6" t="n">
        <v>15020192.30769231</v>
      </c>
      <c r="D6" t="n">
        <v>351138.8393741335</v>
      </c>
      <c r="E6" t="n">
        <v>471406.9831992626</v>
      </c>
      <c r="F6" t="n">
        <v>31.4</v>
      </c>
    </row>
    <row r="7">
      <c r="A7" t="inlineStr">
        <is>
          <t>Broadcom</t>
        </is>
      </c>
      <c r="B7" t="n">
        <v>10330230</v>
      </c>
      <c r="C7" t="n">
        <v>11893408.2</v>
      </c>
      <c r="D7" t="n">
        <v>478251.3888888889</v>
      </c>
      <c r="E7" t="n">
        <v>550620.75</v>
      </c>
      <c r="F7" t="n">
        <v>46.3</v>
      </c>
    </row>
    <row r="8">
      <c r="A8" t="inlineStr">
        <is>
          <t>Intel</t>
        </is>
      </c>
      <c r="B8" t="n">
        <v>5900000</v>
      </c>
      <c r="C8" t="n">
        <v>5765000</v>
      </c>
      <c r="D8" t="n">
        <v>123294.8908730159</v>
      </c>
      <c r="E8" t="n">
        <v>114612.785218254</v>
      </c>
      <c r="F8" t="n">
        <v>19.9</v>
      </c>
    </row>
    <row r="9">
      <c r="A9" t="inlineStr">
        <is>
          <t>AMD</t>
        </is>
      </c>
      <c r="B9" t="n">
        <v>2700000</v>
      </c>
      <c r="C9" t="n">
        <v>3165000</v>
      </c>
      <c r="D9" t="n">
        <v>65525.42892156863</v>
      </c>
      <c r="E9" t="n">
        <v>83177.46629901961</v>
      </c>
      <c r="F9" t="n">
        <v>26.3</v>
      </c>
    </row>
    <row r="10">
      <c r="A10" t="inlineStr">
        <is>
          <t>Google</t>
        </is>
      </c>
      <c r="B10" t="n">
        <v>2750000</v>
      </c>
      <c r="C10" t="n">
        <v>3000000</v>
      </c>
      <c r="D10" t="n">
        <v>101851.8518518519</v>
      </c>
      <c r="E10" t="n">
        <v>111111.1111111111</v>
      </c>
      <c r="F10" t="n">
        <v>37</v>
      </c>
    </row>
    <row r="11">
      <c r="A11" t="inlineStr">
        <is>
          <t>Mavell</t>
        </is>
      </c>
      <c r="B11" t="n">
        <v>2122650</v>
      </c>
      <c r="C11" t="n">
        <v>2443851</v>
      </c>
      <c r="D11" t="n">
        <v>58962.5</v>
      </c>
      <c r="E11" t="n">
        <v>67884.75</v>
      </c>
      <c r="F11" t="n">
        <v>27.8</v>
      </c>
    </row>
    <row r="12">
      <c r="A12" t="inlineStr">
        <is>
          <t>AWS</t>
        </is>
      </c>
      <c r="B12" t="n">
        <v>1250000</v>
      </c>
      <c r="C12" t="n">
        <v>1500000</v>
      </c>
      <c r="D12" t="n">
        <v>18382.35294117647</v>
      </c>
      <c r="E12" t="n">
        <v>22058.82352941177</v>
      </c>
      <c r="F12" t="n">
        <v>14.7</v>
      </c>
    </row>
    <row r="13">
      <c r="A13" t="inlineStr">
        <is>
          <t>Meta</t>
        </is>
      </c>
      <c r="B13" t="n">
        <v>300000</v>
      </c>
      <c r="C13" t="n">
        <v>500000</v>
      </c>
      <c r="D13" t="n">
        <v>5859.375</v>
      </c>
      <c r="E13" t="n">
        <v>9765.625</v>
      </c>
      <c r="F13" t="n">
        <v>19.5</v>
      </c>
    </row>
    <row r="15">
      <c r="A15" t="inlineStr">
        <is>
          <t>2️⃣ 2025e CoWoS 产能需求</t>
        </is>
      </c>
    </row>
    <row r="16">
      <c r="A16" t="inlineStr">
        <is>
          <t>厂商</t>
        </is>
      </c>
      <c r="B16" t="inlineStr">
        <is>
          <t>产品</t>
        </is>
      </c>
      <c r="C16" t="inlineStr">
        <is>
          <t>CoWoS需求(k片)</t>
        </is>
      </c>
      <c r="D16" t="inlineStr">
        <is>
          <t>出货量(k)</t>
        </is>
      </c>
      <c r="E16" t="inlineStr">
        <is>
          <t>HBM需求(k GB)</t>
        </is>
      </c>
      <c r="F16" t="inlineStr">
        <is>
          <t>Wafer价格(USD)</t>
        </is>
      </c>
    </row>
    <row r="18">
      <c r="A18" t="inlineStr">
        <is>
          <t>3️⃣ 关键洞察</t>
        </is>
      </c>
    </row>
    <row r="19">
      <c r="A19" t="inlineStr">
        <is>
          <t>类别</t>
        </is>
      </c>
      <c r="B19" t="inlineStr">
        <is>
          <t>描述</t>
        </is>
      </c>
    </row>
    <row r="20">
      <c r="A20" t="inlineStr">
        <is>
          <t>NVIDIA主导</t>
        </is>
      </c>
      <c r="B20" t="inlineStr">
        <is>
          <t>2025年预计出货620万GPU，Blackwell系列占主力</t>
        </is>
      </c>
    </row>
    <row r="21">
      <c r="A21" t="inlineStr">
        <is>
          <t>Google TPU</t>
        </is>
      </c>
      <c r="B21" t="inlineStr">
        <is>
          <t>2025年180万颗，2026年v7系列放量至260万颗</t>
        </is>
      </c>
    </row>
    <row r="22">
      <c r="A22" t="inlineStr">
        <is>
          <t>AWS Trainium</t>
        </is>
      </c>
      <c r="B22" t="inlineStr">
        <is>
          <t>快速成长，2025年150万颗 → 2026年230万颗 (+53%)</t>
        </is>
      </c>
    </row>
    <row r="23">
      <c r="A23" t="inlineStr">
        <is>
          <t>Broadcom Switch</t>
        </is>
      </c>
      <c r="B23" t="inlineStr">
        <is>
          <t>隐形冠军，2025年1033万颗，2026年1189万颗</t>
        </is>
      </c>
    </row>
    <row r="24">
      <c r="A24" t="inlineStr">
        <is>
          <t>CoWoS瓶颈</t>
        </is>
      </c>
      <c r="B24" t="inlineStr">
        <is>
          <t>2025年总需求663k晶圆，NVIDIA占55%</t>
        </is>
      </c>
    </row>
    <row r="25">
      <c r="A25" t="inlineStr">
        <is>
          <t>供应商格局</t>
        </is>
      </c>
      <c r="B25" t="inlineStr">
        <is>
          <t>日本Ibiden主导GPU/TPU，台湾欣興/南亞逐步切入</t>
        </is>
      </c>
    </row>
    <row r="27">
      <c r="A27" t="inlineStr">
        <is>
          <t>4️⃣ 机会与风险</t>
        </is>
      </c>
    </row>
    <row r="28">
      <c r="A28" t="inlineStr">
        <is>
          <t>类别</t>
        </is>
      </c>
      <c r="B28" t="inlineStr">
        <is>
          <t>项目</t>
        </is>
      </c>
      <c r="C28" t="inlineStr">
        <is>
          <t>描述</t>
        </is>
      </c>
    </row>
    <row r="29">
      <c r="A29" t="inlineStr">
        <is>
          <t>机会</t>
        </is>
      </c>
      <c r="B29" t="inlineStr">
        <is>
          <t>NVIDIA ADAS</t>
        </is>
      </c>
      <c r="C29" t="inlineStr">
        <is>
          <t>YoY +67%，300万→500万颗</t>
        </is>
      </c>
    </row>
    <row r="30">
      <c r="A30" t="inlineStr">
        <is>
          <t>机会</t>
        </is>
      </c>
      <c r="B30" t="inlineStr">
        <is>
          <t>Meta ASIC</t>
        </is>
      </c>
      <c r="C30" t="inlineStr">
        <is>
          <t>YoY +67%，30万→50万颗</t>
        </is>
      </c>
    </row>
    <row r="31">
      <c r="A31" t="inlineStr">
        <is>
          <t>机会</t>
        </is>
      </c>
      <c r="B31" t="inlineStr">
        <is>
          <t>AWS Trainium</t>
        </is>
      </c>
      <c r="C31" t="inlineStr">
        <is>
          <t>YoY +53%，125万→150万颗</t>
        </is>
      </c>
    </row>
    <row r="32">
      <c r="A32" t="inlineStr">
        <is>
          <t>机会</t>
        </is>
      </c>
      <c r="B32" t="inlineStr">
        <is>
          <t>Toppan</t>
        </is>
      </c>
      <c r="C32" t="inlineStr">
        <is>
          <t>Google TPU二供 (20%份额)</t>
        </is>
      </c>
    </row>
    <row r="33">
      <c r="A33" t="inlineStr">
        <is>
          <t>机会</t>
        </is>
      </c>
      <c r="B33" t="inlineStr">
        <is>
          <t>ATS</t>
        </is>
      </c>
      <c r="C33" t="inlineStr">
        <is>
          <t>AWS Trainium二供 (40%份额)</t>
        </is>
      </c>
    </row>
    <row r="34">
      <c r="A34" t="inlineStr">
        <is>
          <t>风险</t>
        </is>
      </c>
      <c r="B34" t="inlineStr">
        <is>
          <t>Intel AI GPU</t>
        </is>
      </c>
      <c r="C34" t="inlineStr">
        <is>
          <t>下滑75%，业务收缩</t>
        </is>
      </c>
    </row>
    <row r="35">
      <c r="A35" t="inlineStr">
        <is>
          <t>风险</t>
        </is>
      </c>
      <c r="B35" t="inlineStr">
        <is>
          <t>CoWoS产能</t>
        </is>
      </c>
      <c r="C35" t="inlineStr">
        <is>
          <t>紧张，可能导致交期延长</t>
        </is>
      </c>
    </row>
    <row r="36">
      <c r="A36" t="inlineStr">
        <is>
          <t>风险</t>
        </is>
      </c>
      <c r="B36" t="inlineStr">
        <is>
          <t>T-glass供应</t>
        </is>
      </c>
      <c r="C36" t="inlineStr">
        <is>
          <t>基板供应瓶颈持续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🎯 ABF 载板市场深度分析</t>
        </is>
      </c>
    </row>
    <row r="2">
      <c r="A2" t="inlineStr">
        <is>
          <t>生成时间: 2026-02-02</t>
        </is>
      </c>
    </row>
    <row r="4">
      <c r="A4" t="inlineStr">
        <is>
          <t>一、市场规模</t>
        </is>
      </c>
    </row>
    <row r="5">
      <c r="A5" t="inlineStr">
        <is>
          <t>项目</t>
        </is>
      </c>
      <c r="B5" t="inlineStr">
        <is>
          <t>2025年</t>
        </is>
      </c>
      <c r="C5" t="inlineStr">
        <is>
          <t>2027年</t>
        </is>
      </c>
      <c r="D5" t="inlineStr">
        <is>
          <t>CAGR/备注</t>
        </is>
      </c>
    </row>
    <row r="6">
      <c r="A6" t="inlineStr">
        <is>
          <t>全球 ABF TAM</t>
        </is>
      </c>
      <c r="B6" t="n">
        <v>2100</v>
      </c>
      <c r="C6" t="n">
        <v>3100</v>
      </c>
      <c r="D6" t="inlineStr">
        <is>
          <t>+21%</t>
        </is>
      </c>
    </row>
    <row r="7">
      <c r="A7" t="inlineStr">
        <is>
          <t>中国 ABF TAM</t>
        </is>
      </c>
      <c r="B7" t="n">
        <v>455</v>
      </c>
      <c r="C7" t="n">
        <v>672</v>
      </c>
      <c r="D7" t="inlineStr">
        <is>
          <t>+21%</t>
        </is>
      </c>
    </row>
    <row r="8">
      <c r="A8" t="inlineStr">
        <is>
          <t>中国国产化率</t>
        </is>
      </c>
      <c r="B8" t="inlineStr">
        <is>
          <t>26%</t>
        </is>
      </c>
      <c r="C8" t="inlineStr">
        <is>
          <t>48%</t>
        </is>
      </c>
      <c r="D8" t="inlineStr">
        <is>
          <t>政策目标</t>
        </is>
      </c>
    </row>
    <row r="9">
      <c r="A9" t="inlineStr">
        <is>
          <t>T-glass Core 需求</t>
        </is>
      </c>
      <c r="B9" t="inlineStr">
        <is>
          <t>120万颗</t>
        </is>
      </c>
      <c r="C9" t="inlineStr">
        <is>
          <t>143万颗</t>
        </is>
      </c>
      <c r="D9" t="inlineStr">
        <is>
          <t>+18.9%</t>
        </is>
      </c>
    </row>
    <row r="11">
      <c r="A11" t="inlineStr">
        <is>
          <t>二、按应用领域拆分 (2027年)</t>
        </is>
      </c>
    </row>
    <row r="12">
      <c r="A12" t="inlineStr">
        <is>
          <t>应用领域</t>
        </is>
      </c>
      <c r="B12" t="inlineStr">
        <is>
          <t>占比</t>
        </is>
      </c>
      <c r="C12" t="inlineStr">
        <is>
          <t>市场规模(亿台币)</t>
        </is>
      </c>
      <c r="D12" t="inlineStr">
        <is>
          <t>主要客户</t>
        </is>
      </c>
    </row>
    <row r="13">
      <c r="A13" t="inlineStr">
        <is>
          <t>AI GPU/ASIC</t>
        </is>
      </c>
      <c r="B13" t="inlineStr">
        <is>
          <t>35%</t>
        </is>
      </c>
      <c r="C13" t="n">
        <v>1085</v>
      </c>
      <c r="D13" t="inlineStr">
        <is>
          <t>NVIDIA/AMD/Google/AWS/Meta</t>
        </is>
      </c>
    </row>
    <row r="14">
      <c r="A14" t="inlineStr">
        <is>
          <t>Switch</t>
        </is>
      </c>
      <c r="B14" t="inlineStr">
        <is>
          <t>30%</t>
        </is>
      </c>
      <c r="C14" t="n">
        <v>930</v>
      </c>
      <c r="D14" t="inlineStr">
        <is>
          <t>Broadcom/Marvell/NVIDIA</t>
        </is>
      </c>
    </row>
    <row r="15">
      <c r="A15" t="inlineStr">
        <is>
          <t>Server CPU</t>
        </is>
      </c>
      <c r="B15" t="inlineStr">
        <is>
          <t>25%</t>
        </is>
      </c>
      <c r="C15" t="n">
        <v>775</v>
      </c>
      <c r="D15" t="inlineStr">
        <is>
          <t>Intel/AMD</t>
        </is>
      </c>
    </row>
    <row r="16">
      <c r="A16" t="inlineStr">
        <is>
          <t>ADAS</t>
        </is>
      </c>
      <c r="B16" t="inlineStr">
        <is>
          <t>7%</t>
        </is>
      </c>
      <c r="C16" t="n">
        <v>217</v>
      </c>
      <c r="D16" t="inlineStr">
        <is>
          <t>NVIDIA/Intel/Tesla</t>
        </is>
      </c>
    </row>
    <row r="17">
      <c r="A17" t="inlineStr">
        <is>
          <t>Others</t>
        </is>
      </c>
      <c r="B17" t="inlineStr">
        <is>
          <t>3%</t>
        </is>
      </c>
      <c r="C17" t="n">
        <v>93</v>
      </c>
      <c r="D17" t="inlineStr">
        <is>
          <t>PC/消费电子</t>
        </is>
      </c>
    </row>
    <row r="19">
      <c r="A19" t="inlineStr">
        <is>
          <t>三、供应商竞争格局</t>
        </is>
      </c>
    </row>
    <row r="20">
      <c r="A20" t="inlineStr">
        <is>
          <t>供应商</t>
        </is>
      </c>
      <c r="B20" t="inlineStr">
        <is>
          <t>地区</t>
        </is>
      </c>
      <c r="C20" t="inlineStr">
        <is>
          <t>优势领域</t>
        </is>
      </c>
      <c r="D20" t="inlineStr">
        <is>
          <t>份额</t>
        </is>
      </c>
      <c r="E20" t="inlineStr">
        <is>
          <t>主要客户</t>
        </is>
      </c>
    </row>
    <row r="21">
      <c r="A21" t="inlineStr">
        <is>
          <t>Ibiden</t>
        </is>
      </c>
      <c r="B21" t="inlineStr">
        <is>
          <t>日本</t>
        </is>
      </c>
      <c r="C21" t="inlineStr">
        <is>
          <t>GPU/TPU 主导</t>
        </is>
      </c>
      <c r="D21" t="inlineStr">
        <is>
          <t>25%</t>
        </is>
      </c>
      <c r="E21" t="inlineStr">
        <is>
          <t>NVIDIA/Google</t>
        </is>
      </c>
    </row>
    <row r="22">
      <c r="A22" t="inlineStr">
        <is>
          <t>Shinko</t>
        </is>
      </c>
      <c r="B22" t="inlineStr">
        <is>
          <t>日本</t>
        </is>
      </c>
      <c r="C22" t="inlineStr">
        <is>
          <t>AI 芯片</t>
        </is>
      </c>
      <c r="D22" t="inlineStr">
        <is>
          <t>15%</t>
        </is>
      </c>
      <c r="E22" t="inlineStr">
        <is>
          <t>AMD/Meta</t>
        </is>
      </c>
    </row>
    <row r="23">
      <c r="A23" t="inlineStr">
        <is>
          <t>Toppan</t>
        </is>
      </c>
      <c r="B23" t="inlineStr">
        <is>
          <t>日本</t>
        </is>
      </c>
      <c r="C23" t="inlineStr">
        <is>
          <t>ASIC/TPU</t>
        </is>
      </c>
      <c r="D23" t="inlineStr">
        <is>
          <t>12%</t>
        </is>
      </c>
      <c r="E23" t="inlineStr">
        <is>
          <t>Google/Intel</t>
        </is>
      </c>
    </row>
    <row r="24">
      <c r="A24" t="inlineStr">
        <is>
          <t>SEMCO</t>
        </is>
      </c>
      <c r="B24" t="inlineStr">
        <is>
          <t>韩国</t>
        </is>
      </c>
      <c r="C24" t="inlineStr">
        <is>
          <t>Switch/AI</t>
        </is>
      </c>
      <c r="D24" t="inlineStr">
        <is>
          <t>18%</t>
        </is>
      </c>
      <c r="E24" t="inlineStr">
        <is>
          <t>Broadcom/AWS</t>
        </is>
      </c>
    </row>
    <row r="25">
      <c r="A25" t="inlineStr">
        <is>
          <t>欣興</t>
        </is>
      </c>
      <c r="B25" t="inlineStr">
        <is>
          <t>台湾</t>
        </is>
      </c>
      <c r="C25" t="inlineStr">
        <is>
          <t>GPU/CPU</t>
        </is>
      </c>
      <c r="D25" t="inlineStr">
        <is>
          <t>12%</t>
        </is>
      </c>
      <c r="E25" t="inlineStr">
        <is>
          <t>NVIDIA/AMD</t>
        </is>
      </c>
    </row>
    <row r="26">
      <c r="A26" t="inlineStr">
        <is>
          <t>南亞</t>
        </is>
      </c>
      <c r="B26" t="inlineStr">
        <is>
          <t>台湾</t>
        </is>
      </c>
      <c r="C26" t="inlineStr">
        <is>
          <t>Server CPU</t>
        </is>
      </c>
      <c r="D26" t="inlineStr">
        <is>
          <t>8%</t>
        </is>
      </c>
      <c r="E26" t="inlineStr">
        <is>
          <t>Intel</t>
        </is>
      </c>
    </row>
    <row r="27">
      <c r="A27" t="inlineStr">
        <is>
          <t>景碩</t>
        </is>
      </c>
      <c r="B27" t="inlineStr">
        <is>
          <t>台湾</t>
        </is>
      </c>
      <c r="C27" t="inlineStr">
        <is>
          <t>ASIC</t>
        </is>
      </c>
      <c r="D27" t="inlineStr">
        <is>
          <t>5%</t>
        </is>
      </c>
      <c r="E27" t="inlineStr">
        <is>
          <t>Meta/AWS</t>
        </is>
      </c>
    </row>
    <row r="28">
      <c r="A28" t="inlineStr">
        <is>
          <t>ATS</t>
        </is>
      </c>
      <c r="B28" t="inlineStr">
        <is>
          <t>台湾</t>
        </is>
      </c>
      <c r="C28" t="inlineStr">
        <is>
          <t>Trainium</t>
        </is>
      </c>
      <c r="D28" t="inlineStr">
        <is>
          <t>3%</t>
        </is>
      </c>
      <c r="E28" t="inlineStr">
        <is>
          <t>AWS</t>
        </is>
      </c>
    </row>
    <row r="30">
      <c r="A30" t="inlineStr">
        <is>
          <t>四、市场进入策略</t>
        </is>
      </c>
    </row>
    <row r="31">
      <c r="A31" t="inlineStr">
        <is>
          <t>阶段</t>
        </is>
      </c>
      <c r="B31" t="inlineStr">
        <is>
          <t>时间</t>
        </is>
      </c>
      <c r="C31" t="inlineStr">
        <is>
          <t>策略重心</t>
        </is>
      </c>
      <c r="D31" t="inlineStr">
        <is>
          <t>目标客户</t>
        </is>
      </c>
      <c r="E31" t="inlineStr">
        <is>
          <t>行动路径</t>
        </is>
      </c>
    </row>
    <row r="32">
      <c r="A32" t="inlineStr">
        <is>
          <t>短期</t>
        </is>
      </c>
      <c r="B32" t="inlineStr">
        <is>
          <t>2025-2026</t>
        </is>
      </c>
      <c r="C32" t="inlineStr">
        <is>
          <t>切入二三供</t>
        </is>
      </c>
      <c r="D32" t="inlineStr">
        <is>
          <t>AMD/Meta/AWS</t>
        </is>
      </c>
      <c r="E32" t="inlineStr">
        <is>
          <t>认证→小批量→扩产</t>
        </is>
      </c>
    </row>
    <row r="33">
      <c r="A33" t="inlineStr">
        <is>
          <t>中期</t>
        </is>
      </c>
      <c r="B33" t="inlineStr">
        <is>
          <t>2026-2027</t>
        </is>
      </c>
      <c r="C33" t="inlineStr">
        <is>
          <t>聚焦高成长</t>
        </is>
      </c>
      <c r="D33" t="inlineStr">
        <is>
          <t>NVIDIA ADAS/Meta ASIC</t>
        </is>
      </c>
      <c r="E33" t="inlineStr">
        <is>
          <t>技术能力→订单→绑定</t>
        </is>
      </c>
    </row>
    <row r="34">
      <c r="A34" t="inlineStr">
        <is>
          <t>长期</t>
        </is>
      </c>
      <c r="B34" t="inlineStr">
        <is>
          <t>2027-2030</t>
        </is>
      </c>
      <c r="C34" t="inlineStr">
        <is>
          <t>国产替代</t>
        </is>
      </c>
      <c r="D34" t="inlineStr">
        <is>
          <t>中国AI芯片/国产CPU</t>
        </is>
      </c>
      <c r="E34" t="inlineStr">
        <is>
          <t>政策对接→供应链→规模化</t>
        </is>
      </c>
    </row>
    <row r="36">
      <c r="A36" t="inlineStr">
        <is>
          <t>五、推荐策略组合</t>
        </is>
      </c>
    </row>
    <row r="37">
      <c r="A37" t="inlineStr">
        <is>
          <t>组合</t>
        </is>
      </c>
      <c r="B37" t="inlineStr">
        <is>
          <t>内容</t>
        </is>
      </c>
    </row>
    <row r="38">
      <c r="A38" t="inlineStr">
        <is>
          <t>技术差异化</t>
        </is>
      </c>
      <c r="B38" t="inlineStr">
        <is>
          <t>聚焦高阶产品 (5nm/3nm)，避开低端竞争</t>
        </is>
      </c>
    </row>
    <row r="39">
      <c r="A39" t="inlineStr">
        <is>
          <t>客户绑定</t>
        </is>
      </c>
      <c r="B39" t="inlineStr">
        <is>
          <t>深度绑定 NVIDIA/AMD/Google，获取稳定订单</t>
        </is>
      </c>
    </row>
    <row r="40">
      <c r="A40" t="inlineStr">
        <is>
          <t>区域聚焦</t>
        </is>
      </c>
      <c r="B40" t="inlineStr">
        <is>
          <t>深耕中国/台湾市场，利用地理优势</t>
        </is>
      </c>
    </row>
    <row r="42">
      <c r="A42" t="inlineStr">
        <is>
          <t>六、需要补充的信息</t>
        </is>
      </c>
    </row>
    <row r="43">
      <c r="A43" t="inlineStr">
        <is>
          <t>类别</t>
        </is>
      </c>
      <c r="B43" t="inlineStr">
        <is>
          <t>具体内容</t>
        </is>
      </c>
    </row>
    <row r="44">
      <c r="A44" t="inlineStr">
        <is>
          <t>公司定位</t>
        </is>
      </c>
      <c r="B44" t="inlineStr">
        <is>
          <t>现有产能、技术节点、主要客户</t>
        </is>
      </c>
    </row>
    <row r="45">
      <c r="A45" t="inlineStr">
        <is>
          <t>竞争分析</t>
        </is>
      </c>
      <c r="B45" t="inlineStr">
        <is>
          <t>供应商产能扩张、定价策略、技术差距</t>
        </is>
      </c>
    </row>
    <row r="46">
      <c r="A46" t="inlineStr">
        <is>
          <t>客户准入</t>
        </is>
      </c>
      <c r="B46" t="inlineStr">
        <is>
          <t>NVIDIA/Google 认证流程、质量/交期/价格要求</t>
        </is>
      </c>
    </row>
    <row r="47">
      <c r="A47" t="inlineStr">
        <is>
          <t>供应链</t>
        </is>
      </c>
      <c r="B47" t="inlineStr">
        <is>
          <t>ABF 胶片供应、设备交期</t>
        </is>
      </c>
    </row>
    <row r="48">
      <c r="A48" t="inlineStr">
        <is>
          <t>财务投资</t>
        </is>
      </c>
      <c r="B48" t="inlineStr">
        <is>
          <t>扩产预算、订单利润率</t>
        </is>
      </c>
    </row>
    <row r="49">
      <c r="A49" t="inlineStr">
        <is>
          <t>中国市场</t>
        </is>
      </c>
      <c r="B49" t="inlineStr">
        <is>
          <t>国产 CPU/GPU 客户、政策支持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🇨🇳 中国 AI 加速器市场深度分析</t>
        </is>
      </c>
    </row>
    <row r="2">
      <c r="A2" t="inlineStr">
        <is>
          <t>生成时间: 2026-02-02</t>
        </is>
      </c>
    </row>
    <row r="4">
      <c r="A4" t="inlineStr">
        <is>
          <t>一、市场规模概览 (百万美元)</t>
        </is>
      </c>
    </row>
    <row r="5">
      <c r="A5" t="inlineStr">
        <is>
          <t>年份</t>
        </is>
      </c>
      <c r="B5" t="inlineStr">
        <is>
          <t>市场规模</t>
        </is>
      </c>
      <c r="C5" t="inlineStr">
        <is>
          <t>YoY</t>
        </is>
      </c>
    </row>
    <row r="6">
      <c r="A6" t="inlineStr">
        <is>
          <t>2024</t>
        </is>
      </c>
      <c r="B6" t="n">
        <v>20783</v>
      </c>
      <c r="C6" t="inlineStr">
        <is>
          <t>-</t>
        </is>
      </c>
    </row>
    <row r="7">
      <c r="A7" t="inlineStr">
        <is>
          <t>2025</t>
        </is>
      </c>
      <c r="B7" t="n">
        <v>25287</v>
      </c>
      <c r="C7" t="inlineStr">
        <is>
          <t>+21.7%</t>
        </is>
      </c>
    </row>
    <row r="8">
      <c r="A8" t="inlineStr">
        <is>
          <t>2026</t>
        </is>
      </c>
      <c r="B8" t="n">
        <v>24660</v>
      </c>
      <c r="C8" t="inlineStr">
        <is>
          <t>-2.5%</t>
        </is>
      </c>
    </row>
    <row r="10">
      <c r="A10" t="inlineStr">
        <is>
          <t>二、厂商竞争格局 (2024-2026)</t>
        </is>
      </c>
    </row>
    <row r="11">
      <c r="A11" t="inlineStr">
        <is>
          <t>厂商</t>
        </is>
      </c>
      <c r="B11" t="inlineStr">
        <is>
          <t>2024营收</t>
        </is>
      </c>
      <c r="C11" t="inlineStr">
        <is>
          <t>2025营收</t>
        </is>
      </c>
      <c r="D11" t="inlineStr">
        <is>
          <t>2026营收</t>
        </is>
      </c>
      <c r="E11" t="inlineStr">
        <is>
          <t>YoY</t>
        </is>
      </c>
      <c r="F11" t="inlineStr">
        <is>
          <t>2026份额</t>
        </is>
      </c>
      <c r="G11" t="inlineStr">
        <is>
          <t>2025出货</t>
        </is>
      </c>
      <c r="H11" t="inlineStr">
        <is>
          <t>2026出货</t>
        </is>
      </c>
    </row>
    <row r="12">
      <c r="A12" t="inlineStr">
        <is>
          <t>Huawei</t>
        </is>
      </c>
      <c r="B12" t="n">
        <v>4861</v>
      </c>
      <c r="C12" t="n">
        <v>10268</v>
      </c>
      <c r="D12" t="n">
        <v>12070</v>
      </c>
      <c r="E12" t="inlineStr">
        <is>
          <t>+17.5%</t>
        </is>
      </c>
      <c r="F12" t="inlineStr">
        <is>
          <t>48.9%</t>
        </is>
      </c>
      <c r="G12" t="n">
        <v>644102</v>
      </c>
      <c r="H12" t="n">
        <v>655206</v>
      </c>
    </row>
    <row r="13">
      <c r="A13" t="inlineStr">
        <is>
          <t>AMD</t>
        </is>
      </c>
      <c r="B13" t="n">
        <v>1000</v>
      </c>
      <c r="C13" t="n">
        <v>500</v>
      </c>
      <c r="D13" t="n">
        <v>3000</v>
      </c>
      <c r="E13" t="inlineStr">
        <is>
          <t>+500%</t>
        </is>
      </c>
      <c r="F13" t="inlineStr">
        <is>
          <t>12.2%</t>
        </is>
      </c>
      <c r="G13" t="n">
        <v>2824</v>
      </c>
      <c r="H13" t="n">
        <v>103984</v>
      </c>
    </row>
    <row r="14">
      <c r="A14" t="inlineStr">
        <is>
          <t>Cambricon</t>
        </is>
      </c>
      <c r="B14" t="n">
        <v>222</v>
      </c>
      <c r="C14" t="n">
        <v>999</v>
      </c>
      <c r="D14" t="n">
        <v>2092</v>
      </c>
      <c r="E14" t="inlineStr">
        <is>
          <t>+109%</t>
        </is>
      </c>
      <c r="F14" t="inlineStr">
        <is>
          <t>8.5%</t>
        </is>
      </c>
      <c r="G14" t="n">
        <v>52044</v>
      </c>
      <c r="H14" t="n">
        <v>104088</v>
      </c>
    </row>
    <row r="15">
      <c r="A15" t="inlineStr">
        <is>
          <t>Hygon/Sugon</t>
        </is>
      </c>
      <c r="B15" t="n">
        <v>0</v>
      </c>
      <c r="C15" t="n">
        <v>1118</v>
      </c>
      <c r="D15" t="n">
        <v>2012</v>
      </c>
      <c r="E15" t="inlineStr">
        <is>
          <t>+80%</t>
        </is>
      </c>
      <c r="F15" t="inlineStr">
        <is>
          <t>8.2%</t>
        </is>
      </c>
      <c r="G15" t="n">
        <v>3245</v>
      </c>
      <c r="H15" t="n">
        <v>32450</v>
      </c>
    </row>
    <row r="16">
      <c r="A16" t="inlineStr">
        <is>
          <t>T-head</t>
        </is>
      </c>
      <c r="B16" t="n">
        <v>260</v>
      </c>
      <c r="C16" t="n">
        <v>1118</v>
      </c>
      <c r="D16" t="n">
        <v>2012</v>
      </c>
      <c r="E16" t="inlineStr">
        <is>
          <t>+80%</t>
        </is>
      </c>
      <c r="F16" t="inlineStr">
        <is>
          <t>8.2%</t>
        </is>
      </c>
      <c r="G16" t="n">
        <v>125636</v>
      </c>
      <c r="H16" t="n">
        <v>251272</v>
      </c>
    </row>
    <row r="17">
      <c r="A17" t="inlineStr">
        <is>
          <t>Nvidia</t>
        </is>
      </c>
      <c r="B17" t="n">
        <v>13684</v>
      </c>
      <c r="C17" t="n">
        <v>10198</v>
      </c>
      <c r="D17" t="n">
        <v>2000</v>
      </c>
      <c r="E17" t="inlineStr">
        <is>
          <t>-80%</t>
        </is>
      </c>
      <c r="F17" t="inlineStr">
        <is>
          <t>8.1%</t>
        </is>
      </c>
      <c r="G17" t="n">
        <v>1904742</v>
      </c>
      <c r="H17" t="n">
        <v>1543324</v>
      </c>
    </row>
    <row r="18">
      <c r="A18" t="inlineStr">
        <is>
          <t>Kunlun</t>
        </is>
      </c>
      <c r="B18" t="n">
        <v>132</v>
      </c>
      <c r="C18" t="n">
        <v>671</v>
      </c>
      <c r="D18" t="n">
        <v>733</v>
      </c>
      <c r="E18" t="inlineStr">
        <is>
          <t>+9%</t>
        </is>
      </c>
      <c r="F18" t="inlineStr">
        <is>
          <t>3.0%</t>
        </is>
      </c>
      <c r="G18" t="n">
        <v>50144</v>
      </c>
      <c r="H18" t="n">
        <v>100288</v>
      </c>
    </row>
    <row r="19">
      <c r="A19" t="inlineStr">
        <is>
          <t>MetaX</t>
        </is>
      </c>
      <c r="B19" t="n">
        <v>92</v>
      </c>
      <c r="C19" t="n">
        <v>204</v>
      </c>
      <c r="D19" t="n">
        <v>368</v>
      </c>
      <c r="E19" t="inlineStr">
        <is>
          <t>+80%</t>
        </is>
      </c>
      <c r="F19" t="inlineStr">
        <is>
          <t>1.5%</t>
        </is>
      </c>
      <c r="G19" t="n">
        <v>29257</v>
      </c>
      <c r="H19" t="n">
        <v>58514</v>
      </c>
    </row>
    <row r="20">
      <c r="A20" t="inlineStr">
        <is>
          <t>Zixiao</t>
        </is>
      </c>
      <c r="B20" t="n">
        <v>0</v>
      </c>
      <c r="C20" t="n">
        <v>101</v>
      </c>
      <c r="D20" t="n">
        <v>196</v>
      </c>
      <c r="E20" t="inlineStr">
        <is>
          <t>+94%</t>
        </is>
      </c>
      <c r="F20" t="inlineStr">
        <is>
          <t>0.8%</t>
        </is>
      </c>
      <c r="G20" t="n">
        <v>6500</v>
      </c>
      <c r="H20" t="n">
        <v>13000</v>
      </c>
    </row>
    <row r="21">
      <c r="A21" t="inlineStr">
        <is>
          <t>Moore Threads</t>
        </is>
      </c>
      <c r="B21" t="n">
        <v>46</v>
      </c>
      <c r="C21" t="n">
        <v>58</v>
      </c>
      <c r="D21" t="n">
        <v>93</v>
      </c>
      <c r="E21" t="inlineStr">
        <is>
          <t>+60%</t>
        </is>
      </c>
      <c r="F21" t="inlineStr">
        <is>
          <t>0.4%</t>
        </is>
      </c>
      <c r="G21" t="n">
        <v>6128</v>
      </c>
      <c r="H21" t="n">
        <v>12256</v>
      </c>
    </row>
    <row r="22">
      <c r="A22" t="inlineStr">
        <is>
          <t>Biren</t>
        </is>
      </c>
      <c r="B22" t="n">
        <v>0</v>
      </c>
      <c r="C22" t="n">
        <v>52</v>
      </c>
      <c r="D22" t="n">
        <v>84</v>
      </c>
      <c r="E22" t="inlineStr">
        <is>
          <t>+62%</t>
        </is>
      </c>
      <c r="F22" t="inlineStr">
        <is>
          <t>0.3%</t>
        </is>
      </c>
      <c r="G22" t="n">
        <v>1984</v>
      </c>
      <c r="H22" t="n">
        <v>3968</v>
      </c>
    </row>
    <row r="24">
      <c r="A24" t="inlineStr">
        <is>
          <t>三、关键趋势</t>
        </is>
      </c>
    </row>
    <row r="25">
      <c r="A25" t="inlineStr">
        <is>
          <t>类别</t>
        </is>
      </c>
      <c r="B25" t="inlineStr">
        <is>
          <t>描述</t>
        </is>
      </c>
    </row>
    <row r="26">
      <c r="A26" t="inlineStr">
        <is>
          <t>华为崛起</t>
        </is>
      </c>
      <c r="B26" t="inlineStr">
        <is>
          <t>营收从 48.6亿 → 120.7亿 USD (+148%)，份额 23% → 49%</t>
        </is>
      </c>
    </row>
    <row r="27">
      <c r="A27" t="inlineStr">
        <is>
          <t>NVIDIA 受挫</t>
        </is>
      </c>
      <c r="B27" t="inlineStr">
        <is>
          <t>营收从 136.8亿 → 20亿 USD (-80%)，份额 66% → 8%</t>
        </is>
      </c>
    </row>
    <row r="28">
      <c r="A28" t="inlineStr">
        <is>
          <t>AMD 增长</t>
        </is>
      </c>
      <c r="B28" t="inlineStr">
        <is>
          <t>营收从 10亿 → 30亿 USD (+200%)，份额 5% → 12%</t>
        </is>
      </c>
    </row>
    <row r="29">
      <c r="A29" t="inlineStr">
        <is>
          <t>国产替代</t>
        </is>
      </c>
      <c r="B29" t="inlineStr">
        <is>
          <t>2026年国产份额约 80%，主要厂商：华为/寒武纪/海光/阿里</t>
        </is>
      </c>
    </row>
    <row r="31">
      <c r="A31" t="inlineStr">
        <is>
          <t>四、ABF 市场影响</t>
        </is>
      </c>
    </row>
    <row r="32">
      <c r="A32" t="inlineStr">
        <is>
          <t>影响维度</t>
        </is>
      </c>
      <c r="B32" t="inlineStr">
        <is>
          <t>分析</t>
        </is>
      </c>
    </row>
    <row r="33">
      <c r="A33" t="inlineStr">
        <is>
          <t>需求增量</t>
        </is>
      </c>
      <c r="B33" t="inlineStr">
        <is>
          <t>国产芯片 2026年出货约 120万颗，对应 ABF 需求</t>
        </is>
      </c>
    </row>
    <row r="34">
      <c r="A34" t="inlineStr">
        <is>
          <t>ASP 差异</t>
        </is>
      </c>
      <c r="B34" t="inlineStr">
        <is>
          <t>NVIDIA ASP 高 (约 4.7万 RMB)，国产约 1-2万 RMB</t>
        </is>
      </c>
    </row>
    <row r="35">
      <c r="A35" t="inlineStr">
        <is>
          <t>毛利率</t>
        </is>
      </c>
      <c r="B35" t="inlineStr">
        <is>
          <t>国产订单毛利率可能低于 NVIDIA/AMD 订单</t>
        </is>
      </c>
    </row>
    <row r="36">
      <c r="A36" t="inlineStr">
        <is>
          <t>技术门槛</t>
        </is>
      </c>
      <c r="B36" t="inlineStr">
        <is>
          <t>国产多用成熟制程 (7nm+)，ABF 技术要求相对低</t>
        </is>
      </c>
    </row>
    <row r="37">
      <c r="A37" t="inlineStr">
        <is>
          <t>客户粘性</t>
        </is>
      </c>
      <c r="B37" t="inlineStr">
        <is>
          <t>NVIDIA/AMD 认证周期长，国产切入相对容易</t>
        </is>
      </c>
    </row>
    <row r="39">
      <c r="A39" t="inlineStr">
        <is>
          <t>五、进入策略建议</t>
        </is>
      </c>
    </row>
    <row r="40">
      <c r="A40" t="inlineStr">
        <is>
          <t>客户类型</t>
        </is>
      </c>
      <c r="B40" t="inlineStr">
        <is>
          <t>策略</t>
        </is>
      </c>
      <c r="C40" t="inlineStr">
        <is>
          <t>优先级</t>
        </is>
      </c>
      <c r="D40" t="inlineStr">
        <is>
          <t>备注</t>
        </is>
      </c>
    </row>
    <row r="41">
      <c r="A41" t="inlineStr">
        <is>
          <t>AMD</t>
        </is>
      </c>
      <c r="B41" t="inlineStr">
        <is>
          <t>积极进入</t>
        </is>
      </c>
      <c r="C41" t="inlineStr">
        <is>
          <t>高</t>
        </is>
      </c>
      <c r="D41" t="inlineStr">
        <is>
          <t>出货量激增 (+3500%)，二供机会大</t>
        </is>
      </c>
    </row>
    <row r="42">
      <c r="A42" t="inlineStr">
        <is>
          <t>华为</t>
        </is>
      </c>
      <c r="B42" t="inlineStr">
        <is>
          <t>谨慎评估</t>
        </is>
      </c>
      <c r="C42" t="inlineStr">
        <is>
          <t>中</t>
        </is>
      </c>
      <c r="D42" t="inlineStr">
        <is>
          <t>量大利薄，需评估毛利率</t>
        </is>
      </c>
    </row>
    <row r="43">
      <c r="A43" t="inlineStr">
        <is>
          <t>寒武纪/海光</t>
        </is>
      </c>
      <c r="B43" t="inlineStr">
        <is>
          <t>积极进入</t>
        </is>
      </c>
      <c r="C43" t="inlineStr">
        <is>
          <t>高</t>
        </is>
      </c>
      <c r="D43" t="inlineStr">
        <is>
          <t>国产替代红利，认证门槛低</t>
        </is>
      </c>
    </row>
    <row r="44">
      <c r="A44" t="inlineStr">
        <is>
          <t>NVIDIA</t>
        </is>
      </c>
      <c r="B44" t="inlineStr">
        <is>
          <t>维持现状</t>
        </is>
      </c>
      <c r="C44" t="inlineStr">
        <is>
          <t>低</t>
        </is>
      </c>
      <c r="D44" t="inlineStr">
        <is>
          <t>份额持续萎缩，订单减少</t>
        </is>
      </c>
    </row>
    <row r="45">
      <c r="A45" t="inlineStr">
        <is>
          <t>MetaX/登临等</t>
        </is>
      </c>
      <c r="B45" t="inlineStr">
        <is>
          <t>观察</t>
        </is>
      </c>
      <c r="C45" t="inlineStr">
        <is>
          <t>低</t>
        </is>
      </c>
      <c r="D45" t="inlineStr">
        <is>
          <t>规模小，优先级低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🎯 中国市场 ABF 进攻策略</t>
        </is>
      </c>
    </row>
    <row r="2">
      <c r="A2" t="inlineStr">
        <is>
          <t>生成时间: 2026-02-02</t>
        </is>
      </c>
    </row>
    <row r="4">
      <c r="A4" t="inlineStr">
        <is>
          <t>一、优先级排序</t>
        </is>
      </c>
    </row>
    <row r="5">
      <c r="A5" t="inlineStr">
        <is>
          <t>优先级</t>
        </is>
      </c>
      <c r="B5" t="inlineStr">
        <is>
          <t>客户</t>
        </is>
      </c>
      <c r="C5" t="inlineStr">
        <is>
          <t>策略</t>
        </is>
      </c>
      <c r="D5" t="inlineStr">
        <is>
          <t>预期收益</t>
        </is>
      </c>
      <c r="E5" t="inlineStr">
        <is>
          <t>风险</t>
        </is>
      </c>
      <c r="F5" t="inlineStr">
        <is>
          <t>行动项</t>
        </is>
      </c>
    </row>
    <row r="6">
      <c r="A6" t="inlineStr">
        <is>
          <t>1st</t>
        </is>
      </c>
      <c r="B6" t="inlineStr">
        <is>
          <t>AMD 中国</t>
        </is>
      </c>
      <c r="C6" t="inlineStr">
        <is>
          <t>积极进入</t>
        </is>
      </c>
      <c r="D6" t="inlineStr">
        <is>
          <t>高毛利</t>
        </is>
      </c>
      <c r="E6" t="inlineStr">
        <is>
          <t>低</t>
        </is>
      </c>
      <c r="F6" t="inlineStr">
        <is>
          <t>争取二供认证</t>
        </is>
      </c>
    </row>
    <row r="7">
      <c r="A7" t="inlineStr">
        <is>
          <t>2nd</t>
        </is>
      </c>
      <c r="B7" t="inlineStr">
        <is>
          <t>寒武纪</t>
        </is>
      </c>
      <c r="C7" t="inlineStr">
        <is>
          <t>国产替代布局</t>
        </is>
      </c>
      <c r="D7" t="inlineStr">
        <is>
          <t>中等毛利</t>
        </is>
      </c>
      <c r="E7" t="inlineStr">
        <is>
          <t>中</t>
        </is>
      </c>
      <c r="F7" t="inlineStr">
        <is>
          <t>建立产品线</t>
        </is>
      </c>
    </row>
    <row r="8">
      <c r="A8" t="inlineStr">
        <is>
          <t>3rd</t>
        </is>
      </c>
      <c r="B8" t="inlineStr">
        <is>
          <t>海光/昆仑芯</t>
        </is>
      </c>
      <c r="C8" t="inlineStr">
        <is>
          <t>产能补充</t>
        </is>
      </c>
      <c r="D8" t="inlineStr">
        <is>
          <t>薄利多销</t>
        </is>
      </c>
      <c r="E8" t="inlineStr">
        <is>
          <t>中</t>
        </is>
      </c>
      <c r="F8" t="inlineStr">
        <is>
          <t>成本优化</t>
        </is>
      </c>
    </row>
    <row r="9">
      <c r="A9" t="inlineStr">
        <is>
          <t>4th</t>
        </is>
      </c>
      <c r="B9" t="inlineStr">
        <is>
          <t>华为</t>
        </is>
      </c>
      <c r="C9" t="inlineStr">
        <is>
          <t>评估后进入</t>
        </is>
      </c>
      <c r="D9" t="inlineStr">
        <is>
          <t>量大利薄</t>
        </is>
      </c>
      <c r="E9" t="inlineStr">
        <is>
          <t>高</t>
        </is>
      </c>
      <c r="F9" t="inlineStr">
        <is>
          <t>风险对冲方案</t>
        </is>
      </c>
    </row>
    <row r="10">
      <c r="A10" t="inlineStr">
        <is>
          <t>5th</t>
        </is>
      </c>
      <c r="B10" t="inlineStr">
        <is>
          <t>新兴厂商</t>
        </is>
      </c>
      <c r="C10" t="inlineStr">
        <is>
          <t>观察等待</t>
        </is>
      </c>
      <c r="D10" t="inlineStr">
        <is>
          <t>不确定</t>
        </is>
      </c>
      <c r="E10" t="inlineStr">
        <is>
          <t>高</t>
        </is>
      </c>
      <c r="F10" t="inlineStr">
        <is>
          <t>持续监控</t>
        </is>
      </c>
    </row>
    <row r="12">
      <c r="A12" t="inlineStr">
        <is>
          <t>二、风险评估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📊 ABF 载板市场完整分析报告</t>
        </is>
      </c>
    </row>
    <row r="2">
      <c r="A2" t="inlineStr">
        <is>
          <t>数据来源: Prismark Partners</t>
        </is>
      </c>
    </row>
    <row r="3">
      <c r="A3" t="inlineStr">
        <is>
          <t>生成时间: 2026-02-02</t>
        </is>
      </c>
    </row>
    <row r="5">
      <c r="A5" t="inlineStr">
        <is>
          <t>一、全球 FCBGA 市场规模</t>
        </is>
      </c>
    </row>
    <row r="6">
      <c r="A6" t="inlineStr">
        <is>
          <t>年份</t>
        </is>
      </c>
      <c r="B6" t="inlineStr">
        <is>
          <t>M USD</t>
        </is>
      </c>
      <c r="C6" t="inlineStr">
        <is>
          <t>YoY</t>
        </is>
      </c>
      <c r="D6" t="inlineStr">
        <is>
          <t>备注</t>
        </is>
      </c>
    </row>
    <row r="7">
      <c r="A7" t="n">
        <v>2022</v>
      </c>
      <c r="B7" t="n">
        <v>9265</v>
      </c>
      <c r="C7" t="inlineStr">
        <is>
          <t>-</t>
        </is>
      </c>
      <c r="D7" t="inlineStr">
        <is>
          <t>-</t>
        </is>
      </c>
    </row>
    <row r="8">
      <c r="A8" t="n">
        <v>2023</v>
      </c>
      <c r="B8" t="n">
        <v>6716</v>
      </c>
      <c r="C8" t="inlineStr">
        <is>
          <t>-27.5%</t>
        </is>
      </c>
      <c r="D8" t="inlineStr">
        <is>
          <t>存储下行</t>
        </is>
      </c>
    </row>
    <row r="9">
      <c r="A9" t="n">
        <v>2024</v>
      </c>
      <c r="B9" t="n">
        <v>6352</v>
      </c>
      <c r="C9" t="inlineStr">
        <is>
          <t>-5.4%</t>
        </is>
      </c>
      <c r="D9" t="inlineStr">
        <is>
          <t>筑底</t>
        </is>
      </c>
    </row>
    <row r="10">
      <c r="A10" t="inlineStr">
        <is>
          <t>2025E</t>
        </is>
      </c>
      <c r="B10" t="n">
        <v>7515</v>
      </c>
      <c r="C10" t="inlineStr">
        <is>
          <t>+18.3%</t>
        </is>
      </c>
      <c r="D10" t="inlineStr">
        <is>
          <t>AI驱动反弹</t>
        </is>
      </c>
    </row>
    <row r="11">
      <c r="A11" t="inlineStr">
        <is>
          <t>2026F</t>
        </is>
      </c>
      <c r="B11" t="n">
        <v>8591</v>
      </c>
      <c r="C11" t="inlineStr">
        <is>
          <t>+14.3%</t>
        </is>
      </c>
      <c r="D11" t="inlineStr">
        <is>
          <t>持续增长</t>
        </is>
      </c>
    </row>
    <row r="12">
      <c r="A12" t="inlineStr">
        <is>
          <t>2029F</t>
        </is>
      </c>
      <c r="B12" t="n">
        <v>11396</v>
      </c>
      <c r="C12" t="inlineStr">
        <is>
          <t>+32.7%</t>
        </is>
      </c>
      <c r="D12" t="inlineStr">
        <is>
          <t>目标</t>
        </is>
      </c>
    </row>
    <row r="14">
      <c r="A14" t="inlineStr">
        <is>
          <t>二、关键指标</t>
        </is>
      </c>
    </row>
    <row r="15">
      <c r="A15" t="inlineStr">
        <is>
          <t>2024-2029 CAGR</t>
        </is>
      </c>
      <c r="B15" t="inlineStr">
        <is>
          <t>+12.4%</t>
        </is>
      </c>
    </row>
    <row r="16">
      <c r="A16" t="inlineStr">
        <is>
          <t>2025/2024 增长</t>
        </is>
      </c>
      <c r="B16" t="inlineStr">
        <is>
          <t>+18.3%</t>
        </is>
      </c>
    </row>
    <row r="17">
      <c r="A17" t="inlineStr">
        <is>
          <t>2029年规模</t>
        </is>
      </c>
      <c r="B17" t="inlineStr">
        <is>
          <t>114亿 USD</t>
        </is>
      </c>
    </row>
    <row r="19">
      <c r="A19" t="inlineStr">
        <is>
          <t>三、产品类别 (2024 vs 2026F)</t>
        </is>
      </c>
    </row>
    <row r="20">
      <c r="A20" t="inlineStr">
        <is>
          <t>类别</t>
        </is>
      </c>
      <c r="B20" t="inlineStr">
        <is>
          <t>2024</t>
        </is>
      </c>
      <c r="C20" t="inlineStr">
        <is>
          <t>2026F</t>
        </is>
      </c>
      <c r="D20" t="inlineStr">
        <is>
          <t>CAGR</t>
        </is>
      </c>
    </row>
    <row r="21">
      <c r="A21" t="inlineStr">
        <is>
          <t>FCBGA</t>
        </is>
      </c>
      <c r="B21" t="n">
        <v>6352</v>
      </c>
      <c r="C21" t="n">
        <v>8591</v>
      </c>
      <c r="D21" t="inlineStr">
        <is>
          <t>16.4%</t>
        </is>
      </c>
    </row>
    <row r="22">
      <c r="A22" t="inlineStr">
        <is>
          <t>FCCSP/FC-DRAM</t>
        </is>
      </c>
      <c r="B22" t="n">
        <v>2204</v>
      </c>
      <c r="C22" t="n">
        <v>2815</v>
      </c>
      <c r="D22" t="inlineStr">
        <is>
          <t>13.0%</t>
        </is>
      </c>
    </row>
    <row r="23">
      <c r="A23" t="inlineStr">
        <is>
          <t>Module</t>
        </is>
      </c>
      <c r="B23" t="n">
        <v>1668</v>
      </c>
      <c r="C23" t="n">
        <v>2012</v>
      </c>
      <c r="D23" t="inlineStr">
        <is>
          <t>9.8%</t>
        </is>
      </c>
    </row>
    <row r="25">
      <c r="A25" t="inlineStr">
        <is>
          <t>四、中国市场 2026F</t>
        </is>
      </c>
    </row>
    <row r="26">
      <c r="A26" t="inlineStr">
        <is>
          <t>厂商</t>
        </is>
      </c>
      <c r="B26" t="inlineStr">
        <is>
          <t>份额</t>
        </is>
      </c>
      <c r="C26" t="inlineStr">
        <is>
          <t>营收M USD</t>
        </is>
      </c>
    </row>
    <row r="27">
      <c r="A27" t="inlineStr">
        <is>
          <t>Huawei</t>
        </is>
      </c>
      <c r="B27" t="inlineStr">
        <is>
          <t>48.9%</t>
        </is>
      </c>
      <c r="C27" t="n">
        <v>12070</v>
      </c>
    </row>
    <row r="28">
      <c r="A28" t="inlineStr">
        <is>
          <t>AMD</t>
        </is>
      </c>
      <c r="B28" t="inlineStr">
        <is>
          <t>12.2%</t>
        </is>
      </c>
      <c r="C28" t="n">
        <v>3000</v>
      </c>
    </row>
    <row r="29">
      <c r="A29" t="inlineStr">
        <is>
          <t>Cambricon</t>
        </is>
      </c>
      <c r="B29" t="inlineStr">
        <is>
          <t>8.5%</t>
        </is>
      </c>
      <c r="C29" t="n">
        <v>2092</v>
      </c>
    </row>
    <row r="30">
      <c r="A30" t="inlineStr">
        <is>
          <t>NVIDIA</t>
        </is>
      </c>
      <c r="B30" t="inlineStr">
        <is>
          <t>8.1%</t>
        </is>
      </c>
      <c r="C30" t="n">
        <v>2000</v>
      </c>
    </row>
    <row r="32">
      <c r="A32" t="inlineStr">
        <is>
          <t>五、战略建议</t>
        </is>
      </c>
    </row>
    <row r="33">
      <c r="A33" t="inlineStr">
        <is>
          <t>短期</t>
        </is>
      </c>
      <c r="B33" t="inlineStr">
        <is>
          <t>争取AI订单</t>
        </is>
      </c>
      <c r="C33" t="inlineStr">
        <is>
          <t>AMD二供、国产替代</t>
        </is>
      </c>
    </row>
    <row r="34">
      <c r="A34" t="inlineStr">
        <is>
          <t>中期</t>
        </is>
      </c>
      <c r="B34" t="inlineStr">
        <is>
          <t>扩大高阶产能</t>
        </is>
      </c>
      <c r="C34" t="inlineStr">
        <is>
          <t>5nm/3nm</t>
        </is>
      </c>
    </row>
    <row r="35">
      <c r="A35" t="inlineStr">
        <is>
          <t>长期</t>
        </is>
      </c>
      <c r="B35" t="inlineStr">
        <is>
          <t>跟随技术演进</t>
        </is>
      </c>
      <c r="C35" t="inlineStr">
        <is>
          <t>边缘AI、全球化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🎯 战略重点分析报告</t>
        </is>
      </c>
    </row>
    <row r="2">
      <c r="A2" t="inlineStr">
        <is>
          <t>战略方向: Google TPU + NVIDIA Switch + 国产 AI</t>
        </is>
      </c>
    </row>
    <row r="3">
      <c r="A3" t="inlineStr">
        <is>
          <t>生成时间: 2026-02-02</t>
        </is>
      </c>
    </row>
    <row r="5">
      <c r="A5" t="inlineStr">
        <is>
          <t>一、Google TPU - 准备切入</t>
        </is>
      </c>
    </row>
    <row r="6">
      <c r="A6" t="inlineStr">
        <is>
          <t>指标</t>
        </is>
      </c>
      <c r="B6" t="inlineStr">
        <is>
          <t>数值</t>
        </is>
      </c>
    </row>
    <row r="7">
      <c r="A7" t="inlineStr">
        <is>
          <t>2025年出货</t>
        </is>
      </c>
      <c r="B7" t="inlineStr">
        <is>
          <t>180万颗</t>
        </is>
      </c>
    </row>
    <row r="8">
      <c r="A8" t="inlineStr">
        <is>
          <t>2026年预计</t>
        </is>
      </c>
      <c r="B8" t="inlineStr">
        <is>
          <t>250万颗</t>
        </is>
      </c>
    </row>
    <row r="9">
      <c r="A9" t="inlineStr">
        <is>
          <t>YoY增长</t>
        </is>
      </c>
      <c r="B9" t="inlineStr">
        <is>
          <t>+39%</t>
        </is>
      </c>
    </row>
    <row r="10">
      <c r="A10" t="inlineStr">
        <is>
          <t>供应商</t>
        </is>
      </c>
      <c r="B10" t="inlineStr">
        <is>
          <t>Broadcom主导, Toppan 20%</t>
        </is>
      </c>
    </row>
    <row r="11">
      <c r="A11" t="inlineStr">
        <is>
          <t>切入策略</t>
        </is>
      </c>
      <c r="B11" t="inlineStr">
        <is>
          <t>目标Toppan二供, 2025-2026完成认证</t>
        </is>
      </c>
    </row>
    <row r="13">
      <c r="A13" t="inlineStr">
        <is>
          <t>二、NVIDIA Switch - 接下来重点</t>
        </is>
      </c>
    </row>
    <row r="14">
      <c r="A14" t="inlineStr">
        <is>
          <t>指标</t>
        </is>
      </c>
      <c r="B14" t="inlineStr">
        <is>
          <t>数值</t>
        </is>
      </c>
    </row>
    <row r="15">
      <c r="A15" t="inlineStr">
        <is>
          <t>2025年需求</t>
        </is>
      </c>
      <c r="B15" t="inlineStr">
        <is>
          <t>1033万颗</t>
        </is>
      </c>
    </row>
    <row r="16">
      <c r="A16" t="inlineStr">
        <is>
          <t>2026年预计</t>
        </is>
      </c>
      <c r="B16" t="inlineStr">
        <is>
          <t>1189万颗</t>
        </is>
      </c>
    </row>
    <row r="17">
      <c r="A17" t="inlineStr">
        <is>
          <t>YoY增长</t>
        </is>
      </c>
      <c r="B17" t="inlineStr">
        <is>
          <t>+15%</t>
        </is>
      </c>
    </row>
    <row r="18">
      <c r="A18" t="inlineStr">
        <is>
          <t>主要厂商</t>
        </is>
      </c>
      <c r="B18" t="inlineStr">
        <is>
          <t>Broadcom 80%, Marvell</t>
        </is>
      </c>
    </row>
    <row r="19">
      <c r="A19" t="inlineStr">
        <is>
          <t>关键瓶颈</t>
        </is>
      </c>
      <c r="B19" t="inlineStr">
        <is>
          <t>CoWoS产能紧缺</t>
        </is>
      </c>
    </row>
    <row r="20">
      <c r="A20" t="inlineStr">
        <is>
          <t>切入策略</t>
        </is>
      </c>
      <c r="B20" t="inlineStr">
        <is>
          <t>绑定Broadcom, 争取CoWoS产能</t>
        </is>
      </c>
    </row>
    <row r="22">
      <c r="A22" t="inlineStr">
        <is>
          <t>三、国产AI - 目前基本盘</t>
        </is>
      </c>
    </row>
    <row r="23">
      <c r="A23" t="inlineStr">
        <is>
          <t>指标</t>
        </is>
      </c>
      <c r="B23" t="inlineStr">
        <is>
          <t>数值</t>
        </is>
      </c>
    </row>
    <row r="24">
      <c r="A24" t="inlineStr">
        <is>
          <t>2026年规模</t>
        </is>
      </c>
      <c r="B24" t="inlineStr">
        <is>
          <t>24.7亿 USD</t>
        </is>
      </c>
    </row>
    <row r="25">
      <c r="A25" t="inlineStr">
        <is>
          <t>出货量</t>
        </is>
      </c>
      <c r="B25" t="inlineStr">
        <is>
          <t>381万颗</t>
        </is>
      </c>
    </row>
    <row r="26">
      <c r="A26" t="inlineStr">
        <is>
          <t>国产份额</t>
        </is>
      </c>
      <c r="B26" t="inlineStr">
        <is>
          <t>~80%</t>
        </is>
      </c>
    </row>
    <row r="27">
      <c r="A27" t="inlineStr">
        <is>
          <t>华为份额</t>
        </is>
      </c>
      <c r="B27" t="inlineStr">
        <is>
          <t>49%</t>
        </is>
      </c>
    </row>
    <row r="28">
      <c r="A28" t="inlineStr">
        <is>
          <t>风险</t>
        </is>
      </c>
      <c r="B28" t="inlineStr">
        <is>
          <t>制裁不确定性, 制程受限</t>
        </is>
      </c>
    </row>
    <row r="29">
      <c r="A29" t="inlineStr">
        <is>
          <t>策略</t>
        </is>
      </c>
      <c r="B29" t="inlineStr">
        <is>
          <t>分散客户: 华为+寒武纪+海光</t>
        </is>
      </c>
    </row>
    <row r="31">
      <c r="A31" t="inlineStr">
        <is>
          <t>四、三大战略对比</t>
        </is>
      </c>
    </row>
    <row r="32">
      <c r="A32" t="inlineStr">
        <is>
          <t>维度</t>
        </is>
      </c>
      <c r="B32" t="inlineStr">
        <is>
          <t>Google TPU</t>
        </is>
      </c>
      <c r="C32" t="inlineStr">
        <is>
          <t>NVIDIA Switch</t>
        </is>
      </c>
      <c r="D32" t="inlineStr">
        <is>
          <t>国产AI</t>
        </is>
      </c>
    </row>
    <row r="33">
      <c r="A33" t="inlineStr">
        <is>
          <t>2026年规模</t>
        </is>
      </c>
      <c r="B33" t="inlineStr">
        <is>
          <t>250万颗</t>
        </is>
      </c>
      <c r="C33" t="inlineStr">
        <is>
          <t>1189万颗</t>
        </is>
      </c>
      <c r="D33" t="inlineStr">
        <is>
          <t>381万颗</t>
        </is>
      </c>
    </row>
    <row r="34">
      <c r="A34" t="inlineStr">
        <is>
          <t>YoY增长</t>
        </is>
      </c>
      <c r="B34" t="inlineStr">
        <is>
          <t>+39%</t>
        </is>
      </c>
      <c r="C34" t="inlineStr">
        <is>
          <t>+15%</t>
        </is>
      </c>
      <c r="D34" t="inlineStr">
        <is>
          <t>+8%</t>
        </is>
      </c>
    </row>
    <row r="35">
      <c r="A35" t="inlineStr">
        <is>
          <t>ASP水平</t>
        </is>
      </c>
      <c r="B35" t="inlineStr">
        <is>
          <t>高($4000)</t>
        </is>
      </c>
      <c r="C35" t="inlineStr">
        <is>
          <t>中高</t>
        </is>
      </c>
      <c r="D35" t="inlineStr">
        <is>
          <t>低(1-2万RMB)</t>
        </is>
      </c>
    </row>
    <row r="36">
      <c r="A36" t="inlineStr">
        <is>
          <t>毛利率</t>
        </is>
      </c>
      <c r="B36" t="inlineStr">
        <is>
          <t>高</t>
        </is>
      </c>
      <c r="C36" t="inlineStr">
        <is>
          <t>中高</t>
        </is>
      </c>
      <c r="D36" t="inlineStr">
        <is>
          <t>中低</t>
        </is>
      </c>
    </row>
    <row r="37">
      <c r="A37" t="inlineStr">
        <is>
          <t>进入难度</t>
        </is>
      </c>
      <c r="B37" t="inlineStr">
        <is>
          <t>中</t>
        </is>
      </c>
      <c r="C37" t="inlineStr">
        <is>
          <t>高</t>
        </is>
      </c>
      <c r="D37" t="inlineStr">
        <is>
          <t>低</t>
        </is>
      </c>
    </row>
    <row r="38">
      <c r="A38" t="inlineStr">
        <is>
          <t>优先级</t>
        </is>
      </c>
      <c r="B38" t="inlineStr">
        <is>
          <t>⭐⭐⭐</t>
        </is>
      </c>
      <c r="C38" t="inlineStr">
        <is>
          <t>⭐⭐⭐⭐</t>
        </is>
      </c>
      <c r="D38" t="inlineStr">
        <is>
          <t>⭐⭐⭐⭐⭐</t>
        </is>
      </c>
    </row>
    <row r="39">
      <c r="A39" t="inlineStr">
        <is>
          <t>策略</t>
        </is>
      </c>
      <c r="B39" t="inlineStr">
        <is>
          <t>切入二供</t>
        </is>
      </c>
      <c r="C39" t="inlineStr">
        <is>
          <t>绑定Broadcom</t>
        </is>
      </c>
      <c r="D39" t="inlineStr">
        <is>
          <t>分散客户</t>
        </is>
      </c>
    </row>
    <row r="41">
      <c r="A41" t="inlineStr">
        <is>
          <t>五、资源配置建议</t>
        </is>
      </c>
    </row>
    <row r="42">
      <c r="A42" t="inlineStr">
        <is>
          <t>阶段</t>
        </is>
      </c>
      <c r="B42" t="inlineStr">
        <is>
          <t>国产AI</t>
        </is>
      </c>
      <c r="C42" t="inlineStr">
        <is>
          <t>Switch</t>
        </is>
      </c>
      <c r="D42" t="inlineStr">
        <is>
          <t>TPU</t>
        </is>
      </c>
    </row>
    <row r="43">
      <c r="A43" t="inlineStr">
        <is>
          <t>短期2025-2026</t>
        </is>
      </c>
      <c r="B43" t="inlineStr">
        <is>
          <t>50%</t>
        </is>
      </c>
      <c r="C43" t="inlineStr">
        <is>
          <t>30%</t>
        </is>
      </c>
      <c r="D43" t="inlineStr">
        <is>
          <t>20%</t>
        </is>
      </c>
    </row>
    <row r="44">
      <c r="A44" t="inlineStr">
        <is>
          <t>中期2026-2027</t>
        </is>
      </c>
      <c r="B44" t="inlineStr">
        <is>
          <t>30%</t>
        </is>
      </c>
      <c r="C44" t="inlineStr">
        <is>
          <t>40%</t>
        </is>
      </c>
      <c r="D44" t="inlineStr">
        <is>
          <t>30%</t>
        </is>
      </c>
    </row>
    <row r="45">
      <c r="A45" t="inlineStr">
        <is>
          <t>长期2027-2028</t>
        </is>
      </c>
      <c r="B45" t="inlineStr">
        <is>
          <t>30%</t>
        </is>
      </c>
      <c r="C45" t="inlineStr">
        <is>
          <t>40%</t>
        </is>
      </c>
      <c r="D45" t="inlineStr">
        <is>
          <t>30%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📊 Bernstein TSMC 研究报告数据</t>
        </is>
      </c>
    </row>
    <row r="2">
      <c r="A2" t="inlineStr">
        <is>
          <t>来源: Bernstein, 8 December 2025</t>
        </is>
      </c>
    </row>
    <row r="3">
      <c r="A3" t="inlineStr">
        <is>
          <t>生成时间: 2026-02-02</t>
        </is>
      </c>
    </row>
    <row r="5">
      <c r="A5" t="inlineStr">
        <is>
          <t>一、财务预测</t>
        </is>
      </c>
    </row>
    <row r="6">
      <c r="A6" t="inlineStr">
        <is>
          <t>项目</t>
        </is>
      </c>
      <c r="B6" t="inlineStr">
        <is>
          <t>2024A</t>
        </is>
      </c>
      <c r="C6" t="inlineStr">
        <is>
          <t>2025E</t>
        </is>
      </c>
      <c r="D6" t="inlineStr">
        <is>
          <t>2026E</t>
        </is>
      </c>
      <c r="E6" t="inlineStr">
        <is>
          <t>CAGR</t>
        </is>
      </c>
    </row>
    <row r="7">
      <c r="A7" t="inlineStr">
        <is>
          <t>TSMC 营收 (M USD)</t>
        </is>
      </c>
      <c r="B7" t="n">
        <v>2894</v>
      </c>
      <c r="C7" t="n">
        <v>3799</v>
      </c>
      <c r="D7" t="n">
        <v>4670</v>
      </c>
      <c r="E7" t="inlineStr">
        <is>
          <t>27.0%</t>
        </is>
      </c>
    </row>
    <row r="8">
      <c r="A8" t="inlineStr">
        <is>
          <t>TSMC EPS (USD)</t>
        </is>
      </c>
      <c r="B8" t="n">
        <v>7.04</v>
      </c>
      <c r="C8" t="n">
        <v>10.4</v>
      </c>
      <c r="D8" t="n">
        <v>12.68</v>
      </c>
      <c r="E8" t="inlineStr">
        <is>
          <t>-</t>
        </is>
      </c>
    </row>
    <row r="9">
      <c r="A9" t="inlineStr">
        <is>
          <t>TSMC EPS (TWD)</t>
        </is>
      </c>
      <c r="B9" t="n">
        <v>45.25</v>
      </c>
      <c r="C9" t="n">
        <v>64.98</v>
      </c>
      <c r="D9" t="n">
        <v>79.23999999999999</v>
      </c>
      <c r="E9" t="inlineStr">
        <is>
          <t>-</t>
        </is>
      </c>
    </row>
    <row r="11">
      <c r="A11" t="inlineStr">
        <is>
          <t>二、AI XPU 收入贡献</t>
        </is>
      </c>
    </row>
    <row r="12">
      <c r="A12" t="inlineStr">
        <is>
          <t>年份</t>
        </is>
      </c>
      <c r="B12" t="inlineStr">
        <is>
          <t>AI XPU 占比</t>
        </is>
      </c>
      <c r="C12" t="inlineStr">
        <is>
          <t>备注</t>
        </is>
      </c>
    </row>
    <row r="13">
      <c r="A13" t="inlineStr">
        <is>
          <t>2024</t>
        </is>
      </c>
      <c r="B13" t="inlineStr">
        <is>
          <t>14.4%</t>
        </is>
      </c>
      <c r="C13" t="inlineStr">
        <is>
          <t>数据来源: Bernstein</t>
        </is>
      </c>
    </row>
    <row r="14">
      <c r="A14" t="inlineStr">
        <is>
          <t>2025E</t>
        </is>
      </c>
      <c r="B14" t="inlineStr">
        <is>
          <t>22.5%</t>
        </is>
      </c>
      <c r="C14" t="inlineStr">
        <is>
          <t>预计增长</t>
        </is>
      </c>
    </row>
    <row r="15">
      <c r="A15" t="inlineStr">
        <is>
          <t>2026E</t>
        </is>
      </c>
      <c r="B15" t="inlineStr">
        <is>
          <t>27.3%</t>
        </is>
      </c>
      <c r="C15" t="inlineStr">
        <is>
          <t>预计增长</t>
        </is>
      </c>
    </row>
    <row r="17">
      <c r="A17" t="inlineStr">
        <is>
          <t>三、CoWoS 产能预测</t>
        </is>
      </c>
    </row>
    <row r="18">
      <c r="A18" t="inlineStr">
        <is>
          <t>产能类型</t>
        </is>
      </c>
      <c r="B18" t="inlineStr">
        <is>
          <t>2025</t>
        </is>
      </c>
      <c r="C18" t="inlineStr">
        <is>
          <t>2026E</t>
        </is>
      </c>
      <c r="D18" t="inlineStr">
        <is>
          <t>增长率</t>
        </is>
      </c>
    </row>
    <row r="19">
      <c r="A19" t="inlineStr">
        <is>
          <t>全球 CoWoS (年产能, K wafers)</t>
        </is>
      </c>
      <c r="B19" t="n">
        <v>724</v>
      </c>
      <c r="C19" t="n">
        <v>1250</v>
      </c>
      <c r="D19" t="inlineStr">
        <is>
          <t>+73%</t>
        </is>
      </c>
    </row>
    <row r="20">
      <c r="A20" t="inlineStr">
        <is>
          <t>TSMC CoWoS (wpm)</t>
        </is>
      </c>
      <c r="B20" t="inlineStr">
        <is>
          <t>~110K</t>
        </is>
      </c>
      <c r="C20" t="inlineStr">
        <is>
          <t>~125K</t>
        </is>
      </c>
      <c r="D20" t="inlineStr">
        <is>
          <t>+14%</t>
        </is>
      </c>
    </row>
    <row r="22">
      <c r="A22" t="inlineStr">
        <is>
          <t>四、TSMC AI 收入目标</t>
        </is>
      </c>
    </row>
    <row r="23">
      <c r="A23" t="inlineStr">
        <is>
          <t>年份</t>
        </is>
      </c>
      <c r="B23" t="inlineStr">
        <is>
          <t>AI 收入目标 (USD B)</t>
        </is>
      </c>
      <c r="C23" t="inlineStr">
        <is>
          <t>备注</t>
        </is>
      </c>
    </row>
    <row r="24">
      <c r="A24" t="inlineStr">
        <is>
          <t>2029</t>
        </is>
      </c>
      <c r="B24" t="inlineStr">
        <is>
          <t>83B</t>
        </is>
      </c>
      <c r="C24" t="inlineStr">
        <is>
          <t>Bernstein 估算</t>
        </is>
      </c>
    </row>
    <row r="25">
      <c r="A25" t="inlineStr">
        <is>
          <t>2026-2029</t>
        </is>
      </c>
      <c r="B25" t="inlineStr">
        <is>
          <t>55-60GW</t>
        </is>
      </c>
      <c r="C25" t="inlineStr">
        <is>
          <t>需要的数据中心建设量</t>
        </is>
      </c>
    </row>
    <row r="27">
      <c r="A27" t="inlineStr">
        <is>
          <t>五、盈利能力</t>
        </is>
      </c>
    </row>
    <row r="28">
      <c r="A28" t="inlineStr">
        <is>
          <t>年份</t>
        </is>
      </c>
      <c r="B28" t="inlineStr">
        <is>
          <t>毛利率</t>
        </is>
      </c>
      <c r="C28" t="inlineStr">
        <is>
          <t>营业利润率</t>
        </is>
      </c>
      <c r="D28" t="inlineStr">
        <is>
          <t>净利润率</t>
        </is>
      </c>
    </row>
    <row r="29">
      <c r="A29" t="inlineStr">
        <is>
          <t>2024A</t>
        </is>
      </c>
      <c r="B29" t="inlineStr">
        <is>
          <t>56.1%</t>
        </is>
      </c>
      <c r="C29" t="inlineStr">
        <is>
          <t>45.7%</t>
        </is>
      </c>
      <c r="D29" t="inlineStr">
        <is>
          <t>40.5%</t>
        </is>
      </c>
    </row>
    <row r="30">
      <c r="A30" t="inlineStr">
        <is>
          <t>2025E</t>
        </is>
      </c>
      <c r="B30" t="inlineStr">
        <is>
          <t>59.4%</t>
        </is>
      </c>
      <c r="C30" t="inlineStr">
        <is>
          <t>49.9%</t>
        </is>
      </c>
      <c r="D30" t="inlineStr">
        <is>
          <t>44.3%</t>
        </is>
      </c>
    </row>
    <row r="31">
      <c r="A31" t="inlineStr">
        <is>
          <t>2026E</t>
        </is>
      </c>
      <c r="B31" t="inlineStr">
        <is>
          <t>58.4%</t>
        </is>
      </c>
      <c r="C31" t="inlineStr">
        <is>
          <t>48.7%</t>
        </is>
      </c>
      <c r="D31" t="inlineStr">
        <is>
          <t>44.0%</t>
        </is>
      </c>
    </row>
    <row r="33">
      <c r="A33" t="inlineStr">
        <is>
          <t>六、资本支出</t>
        </is>
      </c>
    </row>
    <row r="34">
      <c r="A34" t="inlineStr">
        <is>
          <t>年份</t>
        </is>
      </c>
      <c r="B34" t="inlineStr">
        <is>
          <t>CapEx (M USD)</t>
        </is>
      </c>
      <c r="C34" t="inlineStr">
        <is>
          <t>增长率</t>
        </is>
      </c>
    </row>
    <row r="35">
      <c r="A35" t="inlineStr">
        <is>
          <t>2025E</t>
        </is>
      </c>
      <c r="B35" t="n">
        <v>1281</v>
      </c>
      <c r="C35" t="inlineStr">
        <is>
          <t>-</t>
        </is>
      </c>
    </row>
    <row r="36">
      <c r="A36" t="inlineStr">
        <is>
          <t>2026E</t>
        </is>
      </c>
      <c r="B36" t="n">
        <v>1457</v>
      </c>
      <c r="C36" t="inlineStr">
        <is>
          <t>+14%</t>
        </is>
      </c>
    </row>
    <row r="37">
      <c r="A37" t="inlineStr">
        <is>
          <t>CAGR (2024-2026)</t>
        </is>
      </c>
      <c r="B37" t="inlineStr">
        <is>
          <t>23.5%</t>
        </is>
      </c>
      <c r="C37" t="inlineStr">
        <is>
          <t>-</t>
        </is>
      </c>
    </row>
    <row r="39">
      <c r="A39" t="inlineStr">
        <is>
          <t>七、关键客户动态</t>
        </is>
      </c>
    </row>
    <row r="40">
      <c r="A40" t="inlineStr">
        <is>
          <t>客户</t>
        </is>
      </c>
      <c r="B40" t="inlineStr">
        <is>
          <t>产品</t>
        </is>
      </c>
      <c r="C40" t="inlineStr">
        <is>
          <t>时间</t>
        </is>
      </c>
      <c r="D40" t="inlineStr">
        <is>
          <t>收入贡献</t>
        </is>
      </c>
    </row>
    <row r="41">
      <c r="A41" t="inlineStr">
        <is>
          <t>NVIDIA</t>
        </is>
      </c>
      <c r="B41" t="inlineStr">
        <is>
          <t>Blackwell + Rubin</t>
        </is>
      </c>
      <c r="C41" t="inlineStr">
        <is>
          <t>2025-2026</t>
        </is>
      </c>
      <c r="D41" t="inlineStr">
        <is>
          <t>US$50B</t>
        </is>
      </c>
    </row>
    <row r="42">
      <c r="A42" t="inlineStr">
        <is>
          <t>备注</t>
        </is>
      </c>
      <c r="B42" t="inlineStr">
        <is>
          <t>数据来源: Bernstein 估算</t>
        </is>
      </c>
    </row>
    <row r="44">
      <c r="A44" t="inlineStr">
        <is>
          <t>八、数据来源与验证</t>
        </is>
      </c>
    </row>
    <row r="45">
      <c r="A45" t="inlineStr">
        <is>
          <t>项目</t>
        </is>
      </c>
      <c r="B45" t="inlineStr">
        <is>
          <t>来源</t>
        </is>
      </c>
      <c r="C45" t="inlineStr">
        <is>
          <t>可靠性</t>
        </is>
      </c>
    </row>
    <row r="46">
      <c r="A46" t="inlineStr">
        <is>
          <t>TSMC 财务预测</t>
        </is>
      </c>
      <c r="B46" t="inlineStr">
        <is>
          <t>Bernstein</t>
        </is>
      </c>
      <c r="C46" t="inlineStr">
        <is>
          <t>高</t>
        </is>
      </c>
    </row>
    <row r="47">
      <c r="A47" t="inlineStr">
        <is>
          <t>CoWoS 产能</t>
        </is>
      </c>
      <c r="B47" t="inlineStr">
        <is>
          <t>供应链调研</t>
        </is>
      </c>
      <c r="C47" t="inlineStr">
        <is>
          <t>中高</t>
        </is>
      </c>
    </row>
    <row r="48">
      <c r="A48" t="inlineStr">
        <is>
          <t>AI XPU 占比</t>
        </is>
      </c>
      <c r="B48" t="inlineStr">
        <is>
          <t>公司报告 + 估算</t>
        </is>
      </c>
      <c r="C48" t="inlineStr">
        <is>
          <t>中高</t>
        </is>
      </c>
    </row>
    <row r="49">
      <c r="A49" t="inlineStr">
        <is>
          <t>数据中心需求</t>
        </is>
      </c>
      <c r="B49" t="inlineStr">
        <is>
          <t>BNEF/IEA</t>
        </is>
      </c>
      <c r="C49" t="inlineStr">
        <is>
          <t>中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📊 Bernstein TSMC 报告 - 补充数据</t>
        </is>
      </c>
    </row>
    <row r="2">
      <c r="A2" t="inlineStr">
        <is>
          <t>来源: Bernstein, 8 December 2025</t>
        </is>
      </c>
    </row>
    <row r="3">
      <c r="A3" t="inlineStr">
        <is>
          <t>生成时间: 2026-02-02</t>
        </is>
      </c>
    </row>
    <row r="5">
      <c r="A5" t="inlineStr">
        <is>
          <t>一、资本支出预测</t>
        </is>
      </c>
    </row>
    <row r="6">
      <c r="A6" t="inlineStr">
        <is>
          <t>年份</t>
        </is>
      </c>
      <c r="B6" t="inlineStr">
        <is>
          <t>CapEx (B USD)</t>
        </is>
      </c>
      <c r="C6" t="inlineStr">
        <is>
          <t>占营收比</t>
        </is>
      </c>
      <c r="D6" t="inlineStr">
        <is>
          <t>增长率</t>
        </is>
      </c>
    </row>
    <row r="7">
      <c r="A7" t="inlineStr">
        <is>
          <t>2025E</t>
        </is>
      </c>
      <c r="B7" t="n">
        <v>47</v>
      </c>
      <c r="C7" t="inlineStr">
        <is>
          <t>~12%</t>
        </is>
      </c>
      <c r="D7" t="inlineStr">
        <is>
          <t>-</t>
        </is>
      </c>
    </row>
    <row r="8">
      <c r="A8" t="inlineStr">
        <is>
          <t>2026E</t>
        </is>
      </c>
      <c r="B8" t="n">
        <v>53</v>
      </c>
      <c r="C8" t="inlineStr">
        <is>
          <t>~11%</t>
        </is>
      </c>
      <c r="D8" t="inlineStr">
        <is>
          <t>+13%</t>
        </is>
      </c>
    </row>
    <row r="9">
      <c r="A9" t="inlineStr">
        <is>
          <t>2027E</t>
        </is>
      </c>
      <c r="B9" t="inlineStr">
        <is>
          <t>&gt;53</t>
        </is>
      </c>
      <c r="C9" t="inlineStr">
        <is>
          <t>-</t>
        </is>
      </c>
      <c r="D9" t="inlineStr">
        <is>
          <t>继续增长</t>
        </is>
      </c>
    </row>
    <row r="11">
      <c r="A11" t="inlineStr">
        <is>
          <t>二、估值指标</t>
        </is>
      </c>
    </row>
    <row r="12">
      <c r="A12" t="inlineStr">
        <is>
          <t>指标</t>
        </is>
      </c>
      <c r="B12" t="inlineStr">
        <is>
          <t>当前</t>
        </is>
      </c>
      <c r="C12" t="inlineStr">
        <is>
          <t>目标价</t>
        </is>
      </c>
      <c r="D12" t="inlineStr">
        <is>
          <t>上涨空间</t>
        </is>
      </c>
    </row>
    <row r="13">
      <c r="A13" t="inlineStr">
        <is>
          <t>2330.TT (TWD)</t>
        </is>
      </c>
      <c r="B13" t="n">
        <v>1460</v>
      </c>
      <c r="C13" t="n">
        <v>1800</v>
      </c>
      <c r="D13" t="inlineStr">
        <is>
          <t>+23%</t>
        </is>
      </c>
    </row>
    <row r="14">
      <c r="A14" t="inlineStr">
        <is>
          <t>TSM (USD)</t>
        </is>
      </c>
      <c r="B14" t="n">
        <v>294.72</v>
      </c>
      <c r="C14" t="n">
        <v>330</v>
      </c>
      <c r="D14" t="inlineStr">
        <is>
          <t>+12%</t>
        </is>
      </c>
    </row>
    <row r="15">
      <c r="A15" t="inlineStr">
        <is>
          <t>Forward P/E</t>
        </is>
      </c>
      <c r="B15" t="inlineStr">
        <is>
          <t>19.6x</t>
        </is>
      </c>
      <c r="C15" t="inlineStr">
        <is>
          <t>20x</t>
        </is>
      </c>
      <c r="D15" t="inlineStr">
        <is>
          <t>-</t>
        </is>
      </c>
    </row>
    <row r="17">
      <c r="A17" t="inlineStr">
        <is>
          <t>三、关键节点时间表</t>
        </is>
      </c>
    </row>
    <row r="18">
      <c r="A18" t="inlineStr">
        <is>
          <t>时间</t>
        </is>
      </c>
      <c r="B18" t="inlineStr">
        <is>
          <t>产品</t>
        </is>
      </c>
      <c r="C18" t="inlineStr">
        <is>
          <t>节点</t>
        </is>
      </c>
    </row>
    <row r="19">
      <c r="A19" t="inlineStr">
        <is>
          <t>2025</t>
        </is>
      </c>
      <c r="B19" t="inlineStr">
        <is>
          <t>Blackwell (NVIDIA)</t>
        </is>
      </c>
      <c r="C19" t="inlineStr">
        <is>
          <t>4nm</t>
        </is>
      </c>
    </row>
    <row r="20">
      <c r="A20" t="inlineStr">
        <is>
          <t>2025-2026</t>
        </is>
      </c>
      <c r="B20" t="inlineStr">
        <is>
          <t>Rubin (NVIDIA)</t>
        </is>
      </c>
      <c r="C20" t="inlineStr">
        <is>
          <t>3nm</t>
        </is>
      </c>
    </row>
    <row r="21">
      <c r="A21" t="inlineStr">
        <is>
          <t>2H26</t>
        </is>
      </c>
      <c r="B21" t="inlineStr">
        <is>
          <t>iPhone 处理器转向 N2</t>
        </is>
      </c>
      <c r="C21" t="inlineStr">
        <is>
          <t>释放产能</t>
        </is>
      </c>
    </row>
    <row r="22">
      <c r="A22" t="inlineStr">
        <is>
          <t>2027 末</t>
        </is>
      </c>
      <c r="B22" t="inlineStr">
        <is>
          <t>NVIDIA GPU Feynman</t>
        </is>
      </c>
      <c r="C22" t="inlineStr">
        <is>
          <t>N2</t>
        </is>
      </c>
    </row>
    <row r="23">
      <c r="A23" t="inlineStr">
        <is>
          <t>2027 末</t>
        </is>
      </c>
      <c r="B23" t="inlineStr">
        <is>
          <t>Google TPU</t>
        </is>
      </c>
      <c r="C23" t="inlineStr">
        <is>
          <t>N2</t>
        </is>
      </c>
    </row>
    <row r="25">
      <c r="A25" t="inlineStr">
        <is>
          <t>四、季度财务明细 (2025E)</t>
        </is>
      </c>
    </row>
    <row r="26">
      <c r="A26" t="inlineStr">
        <is>
          <t>季度</t>
        </is>
      </c>
      <c r="B26" t="inlineStr">
        <is>
          <t>营收 (B TWD)</t>
        </is>
      </c>
      <c r="C26" t="inlineStr">
        <is>
          <t>毛利率</t>
        </is>
      </c>
      <c r="D26" t="inlineStr">
        <is>
          <t>EPS (NT$)</t>
        </is>
      </c>
    </row>
    <row r="27">
      <c r="A27" t="inlineStr">
        <is>
          <t>1Q25</t>
        </is>
      </c>
      <c r="B27" t="n">
        <v>839</v>
      </c>
      <c r="C27" t="inlineStr">
        <is>
          <t>58.8%</t>
        </is>
      </c>
      <c r="D27" t="n">
        <v>13.94</v>
      </c>
    </row>
    <row r="28">
      <c r="A28" t="inlineStr">
        <is>
          <t>2Q25</t>
        </is>
      </c>
      <c r="B28" t="n">
        <v>934</v>
      </c>
      <c r="C28" t="inlineStr">
        <is>
          <t>58.6%</t>
        </is>
      </c>
      <c r="D28" t="n">
        <v>15.36</v>
      </c>
    </row>
    <row r="29">
      <c r="A29" t="inlineStr">
        <is>
          <t>3Q25</t>
        </is>
      </c>
      <c r="B29" t="n">
        <v>990</v>
      </c>
      <c r="C29" t="inlineStr">
        <is>
          <t>59.5%</t>
        </is>
      </c>
      <c r="D29" t="n">
        <v>17.44</v>
      </c>
    </row>
    <row r="30">
      <c r="A30" t="inlineStr">
        <is>
          <t>4Q25E</t>
        </is>
      </c>
      <c r="B30" t="n">
        <v>1036</v>
      </c>
      <c r="C30" t="inlineStr">
        <is>
          <t>60.5%</t>
        </is>
      </c>
      <c r="D30" t="n">
        <v>18.23</v>
      </c>
    </row>
    <row r="32">
      <c r="A32" t="inlineStr">
        <is>
          <t>五、与市场一致预期对比</t>
        </is>
      </c>
    </row>
    <row r="33">
      <c r="A33" t="inlineStr">
        <is>
          <t>项目</t>
        </is>
      </c>
      <c r="B33" t="inlineStr">
        <is>
          <t>Bernstein</t>
        </is>
      </c>
      <c r="C33" t="inlineStr">
        <is>
          <t>市场共识</t>
        </is>
      </c>
      <c r="D33" t="inlineStr">
        <is>
          <t>差异</t>
        </is>
      </c>
    </row>
    <row r="34">
      <c r="A34" t="inlineStr">
        <is>
          <t>2025 营收</t>
        </is>
      </c>
      <c r="B34" t="inlineStr">
        <is>
          <t>3799B</t>
        </is>
      </c>
      <c r="C34" t="inlineStr">
        <is>
          <t>3777B</t>
        </is>
      </c>
      <c r="D34" t="inlineStr">
        <is>
          <t>+0.6%</t>
        </is>
      </c>
    </row>
    <row r="35">
      <c r="A35" t="inlineStr">
        <is>
          <t>2025 毛利率</t>
        </is>
      </c>
      <c r="B35" t="inlineStr">
        <is>
          <t>59.4%</t>
        </is>
      </c>
      <c r="C35" t="inlineStr">
        <is>
          <t>59.2%</t>
        </is>
      </c>
      <c r="D35" t="inlineStr">
        <is>
          <t>+0.2%</t>
        </is>
      </c>
    </row>
    <row r="36">
      <c r="A36" t="inlineStr">
        <is>
          <t>2025 EPS</t>
        </is>
      </c>
      <c r="B36" t="n">
        <v>65</v>
      </c>
      <c r="C36" t="n">
        <v>64</v>
      </c>
      <c r="D36" t="inlineStr">
        <is>
          <t>+1.5%</t>
        </is>
      </c>
    </row>
    <row r="37">
      <c r="A37" t="inlineStr">
        <is>
          <t>2026 营收</t>
        </is>
      </c>
      <c r="B37" t="inlineStr">
        <is>
          <t>4670B</t>
        </is>
      </c>
      <c r="C37" t="inlineStr">
        <is>
          <t>4606B</t>
        </is>
      </c>
      <c r="D37" t="inlineStr">
        <is>
          <t>+1.4%</t>
        </is>
      </c>
    </row>
    <row r="38">
      <c r="A38" t="inlineStr">
        <is>
          <t>2026 毛利率</t>
        </is>
      </c>
      <c r="B38" t="inlineStr">
        <is>
          <t>58.4%</t>
        </is>
      </c>
      <c r="C38" t="inlineStr">
        <is>
          <t>58.9%</t>
        </is>
      </c>
      <c r="D38" t="inlineStr">
        <is>
          <t>-0.5%</t>
        </is>
      </c>
    </row>
    <row r="40">
      <c r="A40" t="inlineStr">
        <is>
          <t>六、派息与回报</t>
        </is>
      </c>
    </row>
    <row r="41">
      <c r="A41" t="inlineStr">
        <is>
          <t>年份</t>
        </is>
      </c>
      <c r="B41" t="inlineStr">
        <is>
          <t>每股股息 (NT$)</t>
        </is>
      </c>
      <c r="C41" t="inlineStr">
        <is>
          <t>增长率</t>
        </is>
      </c>
    </row>
    <row r="42">
      <c r="A42" t="inlineStr">
        <is>
          <t>2024</t>
        </is>
      </c>
      <c r="B42" t="n">
        <v>17</v>
      </c>
      <c r="C42" t="inlineStr">
        <is>
          <t>-</t>
        </is>
      </c>
    </row>
    <row r="43">
      <c r="A43" t="inlineStr">
        <is>
          <t>2025E</t>
        </is>
      </c>
      <c r="B43" t="n">
        <v>22</v>
      </c>
      <c r="C43" t="inlineStr">
        <is>
          <t>+29%</t>
        </is>
      </c>
    </row>
    <row r="44">
      <c r="A44" t="inlineStr">
        <is>
          <t>2026E</t>
        </is>
      </c>
      <c r="B44" t="n">
        <v>27.5</v>
      </c>
      <c r="C44" t="inlineStr">
        <is>
          <t>+25%</t>
        </is>
      </c>
    </row>
    <row r="45">
      <c r="A45" t="inlineStr">
        <is>
          <t>2027E</t>
        </is>
      </c>
      <c r="B45" t="n">
        <v>38</v>
      </c>
      <c r="C45" t="inlineStr">
        <is>
          <t>+38%</t>
        </is>
      </c>
    </row>
    <row r="47">
      <c r="A47" t="inlineStr">
        <is>
          <t>七、数据可靠性评级</t>
        </is>
      </c>
    </row>
    <row r="48">
      <c r="A48" t="inlineStr">
        <is>
          <t>数据来源</t>
        </is>
      </c>
      <c r="B48" t="inlineStr">
        <is>
          <t>可靠性</t>
        </is>
      </c>
      <c r="C48" t="inlineStr">
        <is>
          <t>备注</t>
        </is>
      </c>
    </row>
    <row r="49">
      <c r="A49" t="inlineStr">
        <is>
          <t>财务预测</t>
        </is>
      </c>
      <c r="B49" t="inlineStr">
        <is>
          <t>高</t>
        </is>
      </c>
      <c r="C49" t="inlineStr">
        <is>
          <t>公司财报</t>
        </is>
      </c>
    </row>
    <row r="50">
      <c r="A50" t="inlineStr">
        <is>
          <t>CoWoS 产能</t>
        </is>
      </c>
      <c r="B50" t="inlineStr">
        <is>
          <t>中高</t>
        </is>
      </c>
      <c r="C50" t="inlineStr">
        <is>
          <t>供应链调研</t>
        </is>
      </c>
    </row>
    <row r="51">
      <c r="A51" t="inlineStr">
        <is>
          <t>节点时间表</t>
        </is>
      </c>
      <c r="B51" t="inlineStr">
        <is>
          <t>中</t>
        </is>
      </c>
      <c r="C51" t="inlineStr">
        <is>
          <t>趋势判断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2026-02-01T14:33:28Z</dcterms:created>
  <dcterms:modified xmlns:dcterms="http://purl.org/dc/terms/" xmlns:xsi="http://www.w3.org/2001/XMLSchema-instance" xsi:type="dcterms:W3CDTF">2026-02-02T07:43:31Z</dcterms:modified>
</cp:coreProperties>
</file>